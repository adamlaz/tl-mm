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xr:revisionPtr revIDLastSave="0" documentId="8_{98E904AB-D560-42BA-8EC9-A7F52E56D56C}" xr6:coauthVersionLast="47" xr6:coauthVersionMax="47" xr10:uidLastSave="{00000000-0000-0000-0000-000000000000}"/>
  <bookViews>
    <workbookView xWindow="240" yWindow="105" windowWidth="14805" windowHeight="8010" firstSheet="2" activeTab="2" xr2:uid="{00000000-000D-0000-FFFF-FFFF00000000}"/>
  </bookViews>
  <sheets>
    <sheet name="Amex" sheetId="1" r:id="rId1"/>
    <sheet name="Bill.com" sheetId="2" r:id="rId2"/>
    <sheet name="AWS Marketplace" sheetId="4" r:id="rId3"/>
    <sheet name="Reduced Spend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3" l="1"/>
  <c r="F44" i="3"/>
  <c r="F45" i="3" s="1"/>
  <c r="H45" i="3" s="1"/>
  <c r="F14" i="3"/>
  <c r="F10" i="3"/>
  <c r="G5" i="3"/>
  <c r="F6" i="3"/>
  <c r="H20" i="1"/>
  <c r="G20" i="1"/>
</calcChain>
</file>

<file path=xl/sharedStrings.xml><?xml version="1.0" encoding="utf-8"?>
<sst xmlns="http://schemas.openxmlformats.org/spreadsheetml/2006/main" count="180" uniqueCount="133">
  <si>
    <t xml:space="preserve">Software Name </t>
  </si>
  <si>
    <t xml:space="preserve">MM Owner </t>
  </si>
  <si>
    <t xml:space="preserve">Notes </t>
  </si>
  <si>
    <t xml:space="preserve">Used For </t>
  </si>
  <si>
    <t xml:space="preserve">Payment Form </t>
  </si>
  <si>
    <t xml:space="preserve">Payment Terms </t>
  </si>
  <si>
    <t xml:space="preserve">Payment Projections </t>
  </si>
  <si>
    <t>Paid on 3/25 and 3/26</t>
  </si>
  <si>
    <t xml:space="preserve">ANTHROPIC, PBC*(API) </t>
  </si>
  <si>
    <t>Ian</t>
  </si>
  <si>
    <t xml:space="preserve">3/26 - The API part is specifically used for Menu Mastero, at this point we don't have enough data on how much the monthly cost will be, but we will continue to monitor. Right now we are set to renew at $100 worth of credits. </t>
  </si>
  <si>
    <t xml:space="preserve">Menu Maestro for API Credits </t>
  </si>
  <si>
    <r>
      <rPr>
        <strike/>
        <sz val="11"/>
        <color rgb="FF000000"/>
        <rFont val="Aptos Narrow"/>
        <scheme val="minor"/>
      </rPr>
      <t xml:space="preserve">Amex - IT (Jorge) 
</t>
    </r>
    <r>
      <rPr>
        <sz val="11"/>
        <color rgb="FF000000"/>
        <rFont val="Aptos Narrow"/>
        <scheme val="minor"/>
      </rPr>
      <t>Amex - Bill</t>
    </r>
  </si>
  <si>
    <t xml:space="preserve">Monthly (Usage Base once we run of credits) </t>
  </si>
  <si>
    <t xml:space="preserve">N/A until we run out of credits </t>
  </si>
  <si>
    <t xml:space="preserve">ANTHROPIC, PBC*(Claude Chat) </t>
  </si>
  <si>
    <t xml:space="preserve">3/26 - Paid $125 to reactivate Claude Chat. </t>
  </si>
  <si>
    <t xml:space="preserve">Revenue Operations </t>
  </si>
  <si>
    <t xml:space="preserve">Monthly - 15th of the Month </t>
  </si>
  <si>
    <t>ATLASSIAN</t>
  </si>
  <si>
    <t xml:space="preserve">Ana </t>
  </si>
  <si>
    <t xml:space="preserve">3/25 - Ana Updated All Atlassian Accounts </t>
  </si>
  <si>
    <t xml:space="preserve">Code Repos, Documentation, Ticketing for All Projects </t>
  </si>
  <si>
    <t xml:space="preserve">Montly (Multiple Payments - Estimate) </t>
  </si>
  <si>
    <t>DNH*GODADDY</t>
  </si>
  <si>
    <t>Matias</t>
  </si>
  <si>
    <t xml:space="preserve">3/25 - A cleanup has already been done to save 2K. We need to do another cleanup for the upcoming payments. There is no projection amounts it's based on when the domain name expires. </t>
  </si>
  <si>
    <t xml:space="preserve">Company Domains </t>
  </si>
  <si>
    <t xml:space="preserve">Random - Domain Renewals </t>
  </si>
  <si>
    <t>ELEVENLABS.IO</t>
  </si>
  <si>
    <t xml:space="preserve">3/25 - Turning service back on, Ian is working on a plan with Michael and Ayo to continue to use this for support. </t>
  </si>
  <si>
    <t xml:space="preserve">Use Cases: AI Support Phone Agent </t>
  </si>
  <si>
    <t xml:space="preserve">Monthly - 9th of the Month </t>
  </si>
  <si>
    <t>EXPENSIFY, INC.</t>
  </si>
  <si>
    <t>Manny</t>
  </si>
  <si>
    <t xml:space="preserve">I heard this was turned back on, who's card is it under now? </t>
  </si>
  <si>
    <t>Expense Management</t>
  </si>
  <si>
    <t xml:space="preserve">Amex - IT (Jorge) </t>
  </si>
  <si>
    <t xml:space="preserve">Monthly (Usage Based) </t>
  </si>
  <si>
    <t>540 - 720</t>
  </si>
  <si>
    <t xml:space="preserve">OPENAI OPCO, LLC (ChatGPT) </t>
  </si>
  <si>
    <t xml:space="preserve">3/26 - Corporate ChatGPT Account, team will continue to monitor who has access and cleanup on a monthly basis. </t>
  </si>
  <si>
    <t xml:space="preserve">Corporate ChatGPT </t>
  </si>
  <si>
    <t xml:space="preserve">Monthly </t>
  </si>
  <si>
    <t xml:space="preserve">OPENAI OPCO, LLC (API Usage) </t>
  </si>
  <si>
    <t xml:space="preserve">3/26 - OpenAI API Usage for the customer health score, no consistent #. We are setting the monthly credits to $50, will monitor for the next quarter and re-evaluate. </t>
  </si>
  <si>
    <t xml:space="preserve">Customer HealthScore </t>
  </si>
  <si>
    <t>WPENGINE.COM</t>
  </si>
  <si>
    <t xml:space="preserve">Matias </t>
  </si>
  <si>
    <t xml:space="preserve">3/23 - This was on our cancel list, but team identified CAKE uses it for two things. 
3/26 - CC info added. And team confirmed via email we are current on our bill. </t>
  </si>
  <si>
    <t xml:space="preserve">Use Cases: Admin Portal and CAKE University </t>
  </si>
  <si>
    <t xml:space="preserve">Monthly - 28th of the Month </t>
  </si>
  <si>
    <t>MetroFax</t>
  </si>
  <si>
    <t xml:space="preserve">Akshay </t>
  </si>
  <si>
    <t xml:space="preserve">3/26 - CC info updated, last month's bill is being paid by Bill.com </t>
  </si>
  <si>
    <t xml:space="preserve">WorldPay Merchant Charge Backs </t>
  </si>
  <si>
    <t xml:space="preserve">Paid by Bill.com for overdue bill. </t>
  </si>
  <si>
    <t xml:space="preserve">Postaman </t>
  </si>
  <si>
    <t xml:space="preserve">Rosen </t>
  </si>
  <si>
    <t xml:space="preserve">3/26 - Rosen and Ana paid the overdue invoice for $2,761 &amp; $239. New total moving forward should be $1,334. And the other account was canceled. </t>
  </si>
  <si>
    <t xml:space="preserve">Microsoft </t>
  </si>
  <si>
    <t xml:space="preserve">3/30 - Finalizing the contract for monthly billing at $36. Was reduced from $270+ per month. </t>
  </si>
  <si>
    <t xml:space="preserve">Retail Logins for Testing </t>
  </si>
  <si>
    <t xml:space="preserve">Has not been charged yet. </t>
  </si>
  <si>
    <t>Frontier</t>
  </si>
  <si>
    <t xml:space="preserve">3/26 - Made a one time payment to re-activate our lab. This will go towards a credit on our account once the checks are processed. </t>
  </si>
  <si>
    <t xml:space="preserve">Amex - Bill </t>
  </si>
  <si>
    <t xml:space="preserve">One Time Charge </t>
  </si>
  <si>
    <t xml:space="preserve">n/a keep to Bill.com </t>
  </si>
  <si>
    <t>NameCheap</t>
  </si>
  <si>
    <t xml:space="preserve">3/26 - We purchased the SSL CertMadcloud Asia Cert in prep for CM ticket </t>
  </si>
  <si>
    <t xml:space="preserve">Retail APAC Cert </t>
  </si>
  <si>
    <t xml:space="preserve">n/a </t>
  </si>
  <si>
    <t xml:space="preserve">Google </t>
  </si>
  <si>
    <t xml:space="preserve">4/1 - After the account was cleaned up we paid the bill so service was not shut down on 4/3. </t>
  </si>
  <si>
    <t xml:space="preserve">Admin Accounts </t>
  </si>
  <si>
    <t xml:space="preserve">Subtotals </t>
  </si>
  <si>
    <t xml:space="preserve">Previous Monthly Spend </t>
  </si>
  <si>
    <t xml:space="preserve">New Monthly Spend </t>
  </si>
  <si>
    <t xml:space="preserve">Previous Annual Spend </t>
  </si>
  <si>
    <t xml:space="preserve">New Annual Spend </t>
  </si>
  <si>
    <t xml:space="preserve">Projected Monthly Savings </t>
  </si>
  <si>
    <t xml:space="preserve">Projected Annual Savings </t>
  </si>
  <si>
    <t xml:space="preserve">Contract Dates </t>
  </si>
  <si>
    <t xml:space="preserve">AC Notes </t>
  </si>
  <si>
    <t xml:space="preserve">Adobe </t>
  </si>
  <si>
    <t>3/27/26 -8/27/26</t>
  </si>
  <si>
    <t xml:space="preserve">Pro rated 5 months - new contract amount </t>
  </si>
  <si>
    <t xml:space="preserve">Atlassian </t>
  </si>
  <si>
    <t xml:space="preserve">Needs more work, removed status pages </t>
  </si>
  <si>
    <t xml:space="preserve">Cursor </t>
  </si>
  <si>
    <t xml:space="preserve">3/8/26 -3/8/27 (Marketplace) </t>
  </si>
  <si>
    <t xml:space="preserve">Savings would be 114K, but reduced by 30K so we are tracking to go over on usage. </t>
  </si>
  <si>
    <t xml:space="preserve">Dialpad </t>
  </si>
  <si>
    <t xml:space="preserve">Hubspot </t>
  </si>
  <si>
    <t xml:space="preserve">JetBrians (IntelliJ) </t>
  </si>
  <si>
    <t>3/17/26 -3/10/27</t>
  </si>
  <si>
    <t xml:space="preserve">Loveable </t>
  </si>
  <si>
    <t xml:space="preserve">Dropped the plan to free </t>
  </si>
  <si>
    <t xml:space="preserve">NPM </t>
  </si>
  <si>
    <t xml:space="preserve">Twilio </t>
  </si>
  <si>
    <t xml:space="preserve">Phone Number Cleanup </t>
  </si>
  <si>
    <t xml:space="preserve">OpenVPN </t>
  </si>
  <si>
    <t>5/1/26 -5/1/27</t>
  </si>
  <si>
    <t xml:space="preserve">Pending Signatures on new contract </t>
  </si>
  <si>
    <t xml:space="preserve">Postman </t>
  </si>
  <si>
    <t xml:space="preserve">Superbase </t>
  </si>
  <si>
    <t xml:space="preserve">2CO.Com (Canceled) </t>
  </si>
  <si>
    <t>Bdow Sumo (Canceled)</t>
  </si>
  <si>
    <t xml:space="preserve">Bitrise Limited (Canceled) </t>
  </si>
  <si>
    <t xml:space="preserve">Chroma Software (Canceled) </t>
  </si>
  <si>
    <t xml:space="preserve">Cloudmersive LLC (Canceled) </t>
  </si>
  <si>
    <t xml:space="preserve">DataDog (Canceled) </t>
  </si>
  <si>
    <t xml:space="preserve">Formstack (Canceled) </t>
  </si>
  <si>
    <t xml:space="preserve">Intercom.io (Canceled) </t>
  </si>
  <si>
    <t xml:space="preserve">AppSpector (Canceled) </t>
  </si>
  <si>
    <t xml:space="preserve">GitHub (Canceled) </t>
  </si>
  <si>
    <t xml:space="preserve">Instabug (Canceled) </t>
  </si>
  <si>
    <t xml:space="preserve">Miro (Canceled) </t>
  </si>
  <si>
    <t xml:space="preserve">Runn (Canceled) </t>
  </si>
  <si>
    <t xml:space="preserve">Shopify (Canceled) </t>
  </si>
  <si>
    <t xml:space="preserve">Qdrant (Canceled) </t>
  </si>
  <si>
    <t xml:space="preserve">Opsgenie (Canceled) </t>
  </si>
  <si>
    <t xml:space="preserve">HiggsField (Canceled) </t>
  </si>
  <si>
    <t xml:space="preserve">ConnectWise (Canceled) </t>
  </si>
  <si>
    <t xml:space="preserve">Spectrum (Canceled) </t>
  </si>
  <si>
    <t xml:space="preserve">AT&amp;T (Canceled) </t>
  </si>
  <si>
    <t xml:space="preserve">SimpleMDM (Canceled) </t>
  </si>
  <si>
    <t xml:space="preserve">Docker (Canceled) </t>
  </si>
  <si>
    <t xml:space="preserve">PingMan (Canceled) </t>
  </si>
  <si>
    <t xml:space="preserve">Zoom (Canceled) </t>
  </si>
  <si>
    <t xml:space="preserve">Canceled 24 Services </t>
  </si>
  <si>
    <t xml:space="preserve">Redcued spend on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</si>
</sst>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quot;$&quot;#,##0.00"/>
  </numFmts>
  <fonts count="7">
    <font>
      <sz val="11"/>
      <color theme="1"/>
      <name val="Aptos Narrow"/>
      <family val="2"/>
      <scheme val="minor"/>
    </font>
    <font>
      <b/>
      <sz val="11"/>
      <color theme="1"/>
      <name val="Aptos Narrow"/>
      <family val="2"/>
      <scheme val="minor"/>
    </font>
    <font>
      <sz val="11"/>
      <color rgb="FF000000"/>
      <name val="Aptos Narrow"/>
    </font>
    <font>
      <sz val="11"/>
      <color rgb="FF000000"/>
      <name val="Aptos Narrow"/>
      <scheme val="minor"/>
    </font>
    <font>
      <strike/>
      <sz val="11"/>
      <color rgb="FF000000"/>
      <name val="Aptos Narrow"/>
      <scheme val="minor"/>
    </font>
    <font>
      <sz val="11"/>
      <color rgb="FF000000"/>
      <name val="Aptos Narrow"/>
      <family val="2"/>
      <scheme val="minor"/>
    </font>
    <font>
      <sz val="11"/>
      <color rgb="FF000000"/>
      <name val="Aptos Narrow"/>
      <charset val="1"/>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1" fillId="0" borderId="0" xfId="0" applyFont="1"/>
    <xf numFmtId="164" fontId="1" fillId="0" borderId="0" xfId="0" applyNumberFormat="1" applyFont="1"/>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164" fontId="0" fillId="0" borderId="0" xfId="0" applyNumberFormat="1" applyAlignment="1">
      <alignment wrapText="1"/>
    </xf>
    <xf numFmtId="164" fontId="0" fillId="0" borderId="0" xfId="0" applyNumberFormat="1"/>
    <xf numFmtId="164" fontId="5" fillId="2" borderId="0" xfId="0" applyNumberFormat="1" applyFont="1" applyFill="1"/>
    <xf numFmtId="164" fontId="0" fillId="2" borderId="0" xfId="0" applyNumberFormat="1" applyFill="1"/>
    <xf numFmtId="165" fontId="0" fillId="0" borderId="0" xfId="0" applyNumberFormat="1"/>
    <xf numFmtId="0" fontId="6" fillId="0" borderId="0" xfId="0" applyFont="1"/>
    <xf numFmtId="0" fontId="1" fillId="3" borderId="0" xfId="0" applyFont="1" applyFill="1" applyAlignment="1">
      <alignment horizontal="center" vertical="center"/>
    </xf>
    <xf numFmtId="165" fontId="1" fillId="3" borderId="0" xfId="0" applyNumberFormat="1" applyFont="1" applyFill="1" applyAlignment="1">
      <alignment horizontal="center" vertical="center"/>
    </xf>
    <xf numFmtId="0" fontId="0" fillId="3" borderId="0" xfId="0" applyFill="1"/>
    <xf numFmtId="165" fontId="0" fillId="3" borderId="0" xfId="0" applyNumberFormat="1" applyFill="1"/>
    <xf numFmtId="165" fontId="0" fillId="4" borderId="0" xfId="0" applyNumberForma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orkbookViewId="0">
      <selection activeCell="G12" sqref="G12"/>
    </sheetView>
  </sheetViews>
  <sheetFormatPr defaultRowHeight="15"/>
  <cols>
    <col min="1" max="1" width="24.5703125" customWidth="1"/>
    <col min="2" max="2" width="14.5703125" customWidth="1"/>
    <col min="3" max="3" width="61" customWidth="1"/>
    <col min="4" max="4" width="18.85546875" customWidth="1"/>
    <col min="5" max="5" width="17.42578125" customWidth="1"/>
    <col min="6" max="6" width="26" customWidth="1"/>
    <col min="7" max="7" width="20.7109375" customWidth="1"/>
    <col min="8" max="8" width="26.7109375" customWidth="1"/>
  </cols>
  <sheetData>
    <row r="1" spans="1:8" ht="29.25">
      <c r="A1" s="1" t="s">
        <v>0</v>
      </c>
      <c r="B1" s="2" t="s">
        <v>1</v>
      </c>
      <c r="C1" s="2" t="s">
        <v>2</v>
      </c>
      <c r="D1" s="2" t="s">
        <v>3</v>
      </c>
      <c r="E1" s="2" t="s">
        <v>4</v>
      </c>
      <c r="F1" s="3" t="s">
        <v>5</v>
      </c>
      <c r="G1" s="3" t="s">
        <v>6</v>
      </c>
      <c r="H1" s="3" t="s">
        <v>7</v>
      </c>
    </row>
    <row r="2" spans="1:8" ht="80.25" customHeight="1">
      <c r="A2" s="4" t="s">
        <v>8</v>
      </c>
      <c r="B2" s="5" t="s">
        <v>9</v>
      </c>
      <c r="C2" s="6" t="s">
        <v>10</v>
      </c>
      <c r="D2" s="6" t="s">
        <v>11</v>
      </c>
      <c r="E2" s="7" t="s">
        <v>12</v>
      </c>
      <c r="F2" s="8" t="s">
        <v>13</v>
      </c>
      <c r="G2" s="9">
        <v>100</v>
      </c>
      <c r="H2" s="9" t="s">
        <v>14</v>
      </c>
    </row>
    <row r="3" spans="1:8" ht="54.75" customHeight="1">
      <c r="A3" s="4" t="s">
        <v>15</v>
      </c>
      <c r="B3" s="5" t="s">
        <v>9</v>
      </c>
      <c r="C3" s="6" t="s">
        <v>16</v>
      </c>
      <c r="D3" s="6" t="s">
        <v>17</v>
      </c>
      <c r="E3" s="7" t="s">
        <v>12</v>
      </c>
      <c r="F3" s="9" t="s">
        <v>18</v>
      </c>
      <c r="G3" s="9">
        <v>125</v>
      </c>
      <c r="H3" s="9">
        <v>125</v>
      </c>
    </row>
    <row r="4" spans="1:8" ht="48.75" customHeight="1">
      <c r="A4" s="6" t="s">
        <v>19</v>
      </c>
      <c r="B4" s="5" t="s">
        <v>20</v>
      </c>
      <c r="C4" s="6" t="s">
        <v>21</v>
      </c>
      <c r="D4" s="6" t="s">
        <v>22</v>
      </c>
      <c r="E4" s="7" t="s">
        <v>12</v>
      </c>
      <c r="F4" s="8" t="s">
        <v>23</v>
      </c>
      <c r="G4" s="9">
        <v>9200</v>
      </c>
      <c r="H4" s="9">
        <v>849.69</v>
      </c>
    </row>
    <row r="5" spans="1:8" ht="51.75" customHeight="1">
      <c r="A5" s="6" t="s">
        <v>24</v>
      </c>
      <c r="B5" s="5" t="s">
        <v>25</v>
      </c>
      <c r="C5" s="6" t="s">
        <v>26</v>
      </c>
      <c r="D5" s="5" t="s">
        <v>27</v>
      </c>
      <c r="E5" s="7" t="s">
        <v>12</v>
      </c>
      <c r="F5" s="9" t="s">
        <v>28</v>
      </c>
      <c r="G5" s="9"/>
      <c r="H5" s="9"/>
    </row>
    <row r="6" spans="1:8" ht="42.75" customHeight="1">
      <c r="A6" s="6" t="s">
        <v>29</v>
      </c>
      <c r="B6" s="5" t="s">
        <v>9</v>
      </c>
      <c r="C6" s="6" t="s">
        <v>30</v>
      </c>
      <c r="D6" s="6" t="s">
        <v>31</v>
      </c>
      <c r="E6" s="7" t="s">
        <v>12</v>
      </c>
      <c r="F6" s="9" t="s">
        <v>32</v>
      </c>
      <c r="G6" s="9">
        <v>99</v>
      </c>
      <c r="H6" s="9">
        <v>99</v>
      </c>
    </row>
    <row r="7" spans="1:8" ht="56.25" customHeight="1">
      <c r="A7" s="6" t="s">
        <v>33</v>
      </c>
      <c r="B7" s="5" t="s">
        <v>34</v>
      </c>
      <c r="C7" s="6" t="s">
        <v>35</v>
      </c>
      <c r="D7" s="5" t="s">
        <v>36</v>
      </c>
      <c r="E7" t="s">
        <v>37</v>
      </c>
      <c r="F7" s="9" t="s">
        <v>38</v>
      </c>
      <c r="G7" s="11" t="s">
        <v>39</v>
      </c>
      <c r="H7" s="11"/>
    </row>
    <row r="8" spans="1:8" ht="51" customHeight="1">
      <c r="A8" s="4" t="s">
        <v>40</v>
      </c>
      <c r="B8" s="5" t="s">
        <v>9</v>
      </c>
      <c r="C8" s="6" t="s">
        <v>41</v>
      </c>
      <c r="D8" s="6" t="s">
        <v>42</v>
      </c>
      <c r="E8" s="7" t="s">
        <v>12</v>
      </c>
      <c r="F8" s="9" t="s">
        <v>43</v>
      </c>
      <c r="G8" s="9">
        <v>1650</v>
      </c>
      <c r="H8" s="9">
        <v>1763.61</v>
      </c>
    </row>
    <row r="9" spans="1:8" ht="53.25" customHeight="1">
      <c r="A9" s="4" t="s">
        <v>44</v>
      </c>
      <c r="B9" s="5" t="s">
        <v>9</v>
      </c>
      <c r="C9" s="6" t="s">
        <v>45</v>
      </c>
      <c r="D9" s="6" t="s">
        <v>46</v>
      </c>
      <c r="E9" s="7" t="s">
        <v>12</v>
      </c>
      <c r="F9" s="8" t="s">
        <v>13</v>
      </c>
      <c r="G9" s="9">
        <v>50</v>
      </c>
      <c r="H9" s="9">
        <v>50</v>
      </c>
    </row>
    <row r="10" spans="1:8" ht="92.25" customHeight="1">
      <c r="A10" s="6" t="s">
        <v>47</v>
      </c>
      <c r="B10" s="5" t="s">
        <v>48</v>
      </c>
      <c r="C10" s="6" t="s">
        <v>49</v>
      </c>
      <c r="D10" s="6" t="s">
        <v>50</v>
      </c>
      <c r="E10" s="7" t="s">
        <v>12</v>
      </c>
      <c r="F10" s="9" t="s">
        <v>51</v>
      </c>
      <c r="G10" s="9">
        <v>1025</v>
      </c>
      <c r="H10" s="9">
        <v>1025</v>
      </c>
    </row>
    <row r="11" spans="1:8" ht="48.75" customHeight="1">
      <c r="A11" s="4" t="s">
        <v>52</v>
      </c>
      <c r="B11" t="s">
        <v>53</v>
      </c>
      <c r="C11" s="4" t="s">
        <v>54</v>
      </c>
      <c r="D11" s="4" t="s">
        <v>55</v>
      </c>
      <c r="E11" s="7" t="s">
        <v>12</v>
      </c>
      <c r="F11" s="9" t="s">
        <v>43</v>
      </c>
      <c r="G11" s="9">
        <v>11.95</v>
      </c>
      <c r="H11" s="9" t="s">
        <v>56</v>
      </c>
    </row>
    <row r="12" spans="1:8" ht="57.75" customHeight="1">
      <c r="A12" s="4" t="s">
        <v>57</v>
      </c>
      <c r="B12" t="s">
        <v>58</v>
      </c>
      <c r="C12" s="4" t="s">
        <v>59</v>
      </c>
      <c r="E12" s="7" t="s">
        <v>12</v>
      </c>
      <c r="F12" s="9" t="s">
        <v>43</v>
      </c>
      <c r="G12" s="9">
        <v>1334</v>
      </c>
      <c r="H12" s="9">
        <v>3000</v>
      </c>
    </row>
    <row r="13" spans="1:8" ht="45.75" customHeight="1">
      <c r="A13" s="4" t="s">
        <v>60</v>
      </c>
      <c r="B13" t="s">
        <v>20</v>
      </c>
      <c r="C13" s="4" t="s">
        <v>61</v>
      </c>
      <c r="D13" t="s">
        <v>62</v>
      </c>
      <c r="E13" s="7" t="s">
        <v>12</v>
      </c>
      <c r="F13" s="9" t="s">
        <v>43</v>
      </c>
      <c r="G13" s="9">
        <v>36</v>
      </c>
      <c r="H13" s="9" t="s">
        <v>63</v>
      </c>
    </row>
    <row r="14" spans="1:8" ht="51.75" customHeight="1">
      <c r="A14" s="4" t="s">
        <v>64</v>
      </c>
      <c r="B14" t="s">
        <v>58</v>
      </c>
      <c r="C14" s="4" t="s">
        <v>65</v>
      </c>
      <c r="E14" s="7" t="s">
        <v>66</v>
      </c>
      <c r="F14" s="9" t="s">
        <v>67</v>
      </c>
      <c r="G14" s="9" t="s">
        <v>68</v>
      </c>
      <c r="H14" s="9">
        <v>753.02</v>
      </c>
    </row>
    <row r="15" spans="1:8" ht="54" customHeight="1">
      <c r="A15" s="4" t="s">
        <v>69</v>
      </c>
      <c r="B15" t="s">
        <v>48</v>
      </c>
      <c r="C15" s="4" t="s">
        <v>70</v>
      </c>
      <c r="D15" t="s">
        <v>71</v>
      </c>
      <c r="E15" s="7" t="s">
        <v>66</v>
      </c>
      <c r="F15" s="9" t="s">
        <v>67</v>
      </c>
      <c r="G15" s="9" t="s">
        <v>72</v>
      </c>
      <c r="H15" s="9">
        <v>192</v>
      </c>
    </row>
    <row r="16" spans="1:8" ht="30.75" customHeight="1">
      <c r="A16" s="4" t="s">
        <v>73</v>
      </c>
      <c r="B16" t="s">
        <v>58</v>
      </c>
      <c r="C16" s="4" t="s">
        <v>74</v>
      </c>
      <c r="D16" t="s">
        <v>75</v>
      </c>
      <c r="E16" s="7" t="s">
        <v>66</v>
      </c>
      <c r="F16" s="9" t="s">
        <v>43</v>
      </c>
      <c r="G16" s="9">
        <v>97.2</v>
      </c>
      <c r="H16" s="9">
        <v>474.85</v>
      </c>
    </row>
    <row r="17" spans="1:8" ht="16.5" customHeight="1">
      <c r="A17" s="4"/>
      <c r="C17" s="4"/>
      <c r="E17" s="7"/>
      <c r="F17" s="9"/>
      <c r="G17" s="9"/>
      <c r="H17" s="9"/>
    </row>
    <row r="18" spans="1:8" ht="17.25" customHeight="1">
      <c r="A18" s="4"/>
      <c r="C18" s="4"/>
      <c r="E18" s="7"/>
      <c r="F18" s="9"/>
      <c r="G18" s="9"/>
      <c r="H18" s="9"/>
    </row>
    <row r="19" spans="1:8">
      <c r="A19" s="4"/>
      <c r="C19" s="4"/>
      <c r="E19" s="7"/>
      <c r="F19" s="9"/>
      <c r="G19" s="9"/>
      <c r="H19" s="9"/>
    </row>
    <row r="20" spans="1:8">
      <c r="A20" s="4"/>
      <c r="F20" s="10" t="s">
        <v>76</v>
      </c>
      <c r="G20" s="10">
        <f>SUM(G2:G12)</f>
        <v>13594.95</v>
      </c>
      <c r="H20" s="10">
        <f>SUM(H2:H14)</f>
        <v>7665.32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5446-FD48-452D-8FF4-6FC2E9C3238D}">
  <dimension ref="A1:I1"/>
  <sheetViews>
    <sheetView workbookViewId="0">
      <selection activeCell="H2" sqref="H2"/>
    </sheetView>
  </sheetViews>
  <sheetFormatPr defaultRowHeight="15"/>
  <cols>
    <col min="1" max="1" width="28" customWidth="1"/>
    <col min="2" max="2" width="21.5703125" customWidth="1"/>
    <col min="3" max="3" width="28.42578125" customWidth="1"/>
    <col min="4" max="4" width="22.42578125" customWidth="1"/>
    <col min="5" max="5" width="21.85546875" customWidth="1"/>
    <col min="6" max="6" width="24" customWidth="1"/>
    <col min="7" max="7" width="25.140625" customWidth="1"/>
    <col min="8" max="8" width="27.85546875" customWidth="1"/>
    <col min="9" max="9" width="23.140625" customWidth="1"/>
  </cols>
  <sheetData>
    <row r="1" spans="1:9">
      <c r="A1" s="14" t="s">
        <v>0</v>
      </c>
      <c r="B1" s="15" t="s">
        <v>77</v>
      </c>
      <c r="C1" s="15" t="s">
        <v>78</v>
      </c>
      <c r="D1" s="15" t="s">
        <v>79</v>
      </c>
      <c r="E1" s="15" t="s">
        <v>80</v>
      </c>
      <c r="F1" s="15" t="s">
        <v>81</v>
      </c>
      <c r="G1" s="15" t="s">
        <v>82</v>
      </c>
      <c r="H1" s="14" t="s">
        <v>83</v>
      </c>
      <c r="I1" s="14"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6F30-83CE-419B-AE72-4D998887126E}">
  <dimension ref="A1:I1"/>
  <sheetViews>
    <sheetView tabSelected="1" workbookViewId="0"/>
  </sheetViews>
  <sheetFormatPr defaultRowHeight="15"/>
  <cols>
    <col min="1" max="1" width="28" customWidth="1"/>
    <col min="2" max="2" width="21.5703125" customWidth="1"/>
    <col min="3" max="3" width="28.42578125" customWidth="1"/>
    <col min="4" max="4" width="22.42578125" customWidth="1"/>
    <col min="5" max="5" width="21.85546875" customWidth="1"/>
    <col min="6" max="6" width="24" customWidth="1"/>
    <col min="7" max="7" width="25.140625" customWidth="1"/>
    <col min="8" max="8" width="27.85546875" customWidth="1"/>
    <col min="9" max="9" width="23.140625" customWidth="1"/>
  </cols>
  <sheetData>
    <row r="1" spans="1:9">
      <c r="A1" s="14" t="s">
        <v>0</v>
      </c>
      <c r="B1" s="15" t="s">
        <v>77</v>
      </c>
      <c r="C1" s="15" t="s">
        <v>78</v>
      </c>
      <c r="D1" s="15" t="s">
        <v>79</v>
      </c>
      <c r="E1" s="15" t="s">
        <v>80</v>
      </c>
      <c r="F1" s="15" t="s">
        <v>81</v>
      </c>
      <c r="G1" s="15" t="s">
        <v>82</v>
      </c>
      <c r="H1" s="14" t="s">
        <v>83</v>
      </c>
      <c r="I1" s="14"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FF3B-7F69-463C-8AA0-5D045C7D904C}">
  <dimension ref="A1:I50"/>
  <sheetViews>
    <sheetView workbookViewId="0">
      <selection sqref="A1:XFD1"/>
    </sheetView>
  </sheetViews>
  <sheetFormatPr defaultRowHeight="15"/>
  <cols>
    <col min="1" max="1" width="28.140625" customWidth="1"/>
    <col min="2" max="2" width="22.28515625" style="12" customWidth="1"/>
    <col min="3" max="4" width="23.140625" style="12" customWidth="1"/>
    <col min="5" max="5" width="26.42578125" style="12" customWidth="1"/>
    <col min="6" max="6" width="24" style="12" customWidth="1"/>
    <col min="7" max="7" width="25.28515625" customWidth="1"/>
    <col min="8" max="8" width="28.140625" customWidth="1"/>
    <col min="9" max="9" width="40.140625" customWidth="1"/>
  </cols>
  <sheetData>
    <row r="1" spans="1:9" s="14" customFormat="1">
      <c r="A1" s="14" t="s">
        <v>0</v>
      </c>
      <c r="B1" s="15" t="s">
        <v>77</v>
      </c>
      <c r="C1" s="15" t="s">
        <v>78</v>
      </c>
      <c r="D1" s="15" t="s">
        <v>79</v>
      </c>
      <c r="E1" s="15" t="s">
        <v>80</v>
      </c>
      <c r="F1" s="15" t="s">
        <v>81</v>
      </c>
      <c r="G1" s="15" t="s">
        <v>82</v>
      </c>
      <c r="H1" s="14" t="s">
        <v>83</v>
      </c>
      <c r="I1" s="14" t="s">
        <v>84</v>
      </c>
    </row>
    <row r="2" spans="1:9">
      <c r="A2" t="s">
        <v>85</v>
      </c>
      <c r="B2" s="12">
        <v>1732.62</v>
      </c>
      <c r="E2" s="12">
        <v>3001.45</v>
      </c>
      <c r="G2" s="12">
        <v>5661.65</v>
      </c>
      <c r="H2" t="s">
        <v>86</v>
      </c>
      <c r="I2" t="s">
        <v>87</v>
      </c>
    </row>
    <row r="3" spans="1:9">
      <c r="A3" t="s">
        <v>88</v>
      </c>
      <c r="F3" s="12">
        <v>396</v>
      </c>
      <c r="I3" t="s">
        <v>89</v>
      </c>
    </row>
    <row r="4" spans="1:9" ht="29.25">
      <c r="A4" t="s">
        <v>90</v>
      </c>
      <c r="B4" s="12">
        <v>9500</v>
      </c>
      <c r="G4" s="12">
        <v>84000</v>
      </c>
      <c r="H4" t="s">
        <v>91</v>
      </c>
      <c r="I4" s="4" t="s">
        <v>92</v>
      </c>
    </row>
    <row r="5" spans="1:9">
      <c r="A5" t="s">
        <v>93</v>
      </c>
      <c r="D5" s="12">
        <v>142440</v>
      </c>
      <c r="E5" s="12">
        <v>85432</v>
      </c>
      <c r="G5" s="12">
        <f>D5-E5</f>
        <v>57008</v>
      </c>
    </row>
    <row r="6" spans="1:9">
      <c r="A6" t="s">
        <v>73</v>
      </c>
      <c r="B6" s="12">
        <v>798.11</v>
      </c>
      <c r="C6" s="12">
        <v>97.2</v>
      </c>
      <c r="F6" s="12">
        <f>B6-C6</f>
        <v>700.91</v>
      </c>
    </row>
    <row r="7" spans="1:9">
      <c r="A7" t="s">
        <v>94</v>
      </c>
      <c r="B7" s="12">
        <v>3335</v>
      </c>
      <c r="E7" s="12">
        <v>39720</v>
      </c>
      <c r="G7" s="12">
        <v>300</v>
      </c>
    </row>
    <row r="8" spans="1:9">
      <c r="A8" t="s">
        <v>95</v>
      </c>
      <c r="B8" s="12">
        <v>1700</v>
      </c>
      <c r="E8" s="12">
        <v>4219.42</v>
      </c>
      <c r="G8" s="12">
        <v>16181</v>
      </c>
      <c r="H8" t="s">
        <v>96</v>
      </c>
    </row>
    <row r="9" spans="1:9">
      <c r="A9" t="s">
        <v>97</v>
      </c>
      <c r="B9" s="12">
        <v>240</v>
      </c>
      <c r="C9" s="12">
        <v>0</v>
      </c>
      <c r="F9" s="12">
        <v>240</v>
      </c>
      <c r="I9" t="s">
        <v>98</v>
      </c>
    </row>
    <row r="10" spans="1:9">
      <c r="A10" t="s">
        <v>60</v>
      </c>
      <c r="B10" s="12">
        <v>1134</v>
      </c>
      <c r="C10" s="12">
        <v>36</v>
      </c>
      <c r="F10" s="12">
        <f>B10-C10</f>
        <v>1098</v>
      </c>
    </row>
    <row r="11" spans="1:9">
      <c r="A11" t="s">
        <v>99</v>
      </c>
      <c r="B11" s="12">
        <v>880</v>
      </c>
      <c r="C11" s="12">
        <v>0</v>
      </c>
      <c r="F11" s="12">
        <v>880</v>
      </c>
    </row>
    <row r="12" spans="1:9">
      <c r="A12" t="s">
        <v>100</v>
      </c>
      <c r="F12" s="12">
        <v>3600</v>
      </c>
      <c r="I12" t="s">
        <v>101</v>
      </c>
    </row>
    <row r="13" spans="1:9">
      <c r="A13" t="s">
        <v>102</v>
      </c>
      <c r="B13" s="12">
        <v>675</v>
      </c>
      <c r="E13" s="12">
        <v>3024</v>
      </c>
      <c r="G13" s="12">
        <v>5076</v>
      </c>
      <c r="H13" t="s">
        <v>103</v>
      </c>
      <c r="I13" t="s">
        <v>104</v>
      </c>
    </row>
    <row r="14" spans="1:9">
      <c r="A14" t="s">
        <v>105</v>
      </c>
      <c r="B14" s="12">
        <v>2562</v>
      </c>
      <c r="C14" s="12">
        <v>1334</v>
      </c>
      <c r="F14" s="12">
        <f>B14-C14</f>
        <v>1228</v>
      </c>
    </row>
    <row r="15" spans="1:9">
      <c r="A15" t="s">
        <v>106</v>
      </c>
      <c r="B15" s="12">
        <v>55</v>
      </c>
      <c r="C15" s="12">
        <v>0</v>
      </c>
      <c r="F15" s="12">
        <v>55</v>
      </c>
    </row>
    <row r="16" spans="1:9">
      <c r="A16" t="s">
        <v>107</v>
      </c>
      <c r="B16" s="12">
        <v>49.95</v>
      </c>
      <c r="C16" s="12">
        <v>0</v>
      </c>
      <c r="F16" s="12">
        <v>49.95</v>
      </c>
    </row>
    <row r="17" spans="1:6">
      <c r="A17" t="s">
        <v>108</v>
      </c>
      <c r="B17" s="12">
        <v>49</v>
      </c>
      <c r="C17" s="12">
        <v>0</v>
      </c>
      <c r="F17" s="12">
        <v>49</v>
      </c>
    </row>
    <row r="18" spans="1:6">
      <c r="A18" s="13" t="s">
        <v>109</v>
      </c>
      <c r="B18" s="12">
        <v>330</v>
      </c>
      <c r="C18" s="12">
        <v>0</v>
      </c>
      <c r="F18" s="12">
        <v>330</v>
      </c>
    </row>
    <row r="19" spans="1:6">
      <c r="A19" s="13" t="s">
        <v>110</v>
      </c>
      <c r="B19" s="12">
        <v>179</v>
      </c>
      <c r="C19" s="12">
        <v>0</v>
      </c>
      <c r="F19" s="12">
        <v>179</v>
      </c>
    </row>
    <row r="20" spans="1:6">
      <c r="A20" t="s">
        <v>111</v>
      </c>
      <c r="B20" s="12">
        <v>19.989999999999998</v>
      </c>
      <c r="C20" s="12">
        <v>0</v>
      </c>
      <c r="F20" s="12">
        <v>19.989999999999998</v>
      </c>
    </row>
    <row r="21" spans="1:6">
      <c r="A21" s="13" t="s">
        <v>112</v>
      </c>
      <c r="B21" s="12">
        <v>196</v>
      </c>
      <c r="C21" s="12">
        <v>0</v>
      </c>
      <c r="F21" s="12">
        <v>196</v>
      </c>
    </row>
    <row r="22" spans="1:6">
      <c r="A22" t="s">
        <v>113</v>
      </c>
      <c r="B22" s="12">
        <v>149.44999999999999</v>
      </c>
      <c r="C22" s="12">
        <v>0</v>
      </c>
      <c r="F22" s="12">
        <v>149.44999999999999</v>
      </c>
    </row>
    <row r="23" spans="1:6">
      <c r="A23" t="s">
        <v>114</v>
      </c>
      <c r="B23" s="12">
        <v>199</v>
      </c>
      <c r="C23" s="12">
        <v>0</v>
      </c>
      <c r="F23" s="12">
        <v>199</v>
      </c>
    </row>
    <row r="24" spans="1:6">
      <c r="A24" t="s">
        <v>115</v>
      </c>
      <c r="B24" s="12">
        <v>418</v>
      </c>
      <c r="C24" s="12">
        <v>0</v>
      </c>
      <c r="F24" s="12">
        <v>418</v>
      </c>
    </row>
    <row r="25" spans="1:6">
      <c r="A25" t="s">
        <v>116</v>
      </c>
      <c r="B25" s="12">
        <v>224</v>
      </c>
      <c r="C25" s="12">
        <v>0</v>
      </c>
      <c r="F25" s="12">
        <v>224</v>
      </c>
    </row>
    <row r="26" spans="1:6">
      <c r="A26" t="s">
        <v>117</v>
      </c>
      <c r="B26" s="12">
        <v>1287</v>
      </c>
      <c r="C26" s="12">
        <v>0</v>
      </c>
      <c r="F26" s="12">
        <v>1287</v>
      </c>
    </row>
    <row r="27" spans="1:6">
      <c r="A27" t="s">
        <v>118</v>
      </c>
      <c r="B27" s="12">
        <v>300</v>
      </c>
      <c r="C27" s="12">
        <v>0</v>
      </c>
      <c r="F27" s="12">
        <v>300</v>
      </c>
    </row>
    <row r="28" spans="1:6">
      <c r="A28" s="13" t="s">
        <v>119</v>
      </c>
      <c r="B28" s="12">
        <v>560</v>
      </c>
      <c r="C28" s="12">
        <v>0</v>
      </c>
      <c r="F28" s="12">
        <v>560</v>
      </c>
    </row>
    <row r="29" spans="1:6">
      <c r="A29" t="s">
        <v>120</v>
      </c>
      <c r="B29" s="12">
        <v>233</v>
      </c>
      <c r="C29" s="12">
        <v>0</v>
      </c>
      <c r="F29" s="12">
        <v>233</v>
      </c>
    </row>
    <row r="30" spans="1:6">
      <c r="A30" t="s">
        <v>121</v>
      </c>
      <c r="B30" s="12">
        <v>95.88</v>
      </c>
      <c r="C30" s="12">
        <v>0</v>
      </c>
      <c r="F30" s="12">
        <v>95.88</v>
      </c>
    </row>
    <row r="31" spans="1:6">
      <c r="A31" s="13" t="s">
        <v>122</v>
      </c>
      <c r="B31" s="12">
        <v>241.5</v>
      </c>
      <c r="C31" s="12">
        <v>0</v>
      </c>
      <c r="F31" s="12">
        <v>241.5</v>
      </c>
    </row>
    <row r="32" spans="1:6">
      <c r="A32" t="s">
        <v>123</v>
      </c>
      <c r="B32" s="12">
        <v>49</v>
      </c>
      <c r="C32" s="12">
        <v>0</v>
      </c>
      <c r="F32" s="12">
        <v>49</v>
      </c>
    </row>
    <row r="33" spans="1:8">
      <c r="A33" t="s">
        <v>124</v>
      </c>
      <c r="B33" s="12">
        <v>273</v>
      </c>
      <c r="C33" s="12">
        <v>0</v>
      </c>
      <c r="F33" s="12">
        <v>273</v>
      </c>
    </row>
    <row r="34" spans="1:8">
      <c r="A34" s="13" t="s">
        <v>125</v>
      </c>
      <c r="B34" s="12">
        <v>1899</v>
      </c>
      <c r="C34" s="12">
        <v>0</v>
      </c>
      <c r="F34" s="12">
        <v>1899</v>
      </c>
    </row>
    <row r="35" spans="1:8">
      <c r="A35" t="s">
        <v>126</v>
      </c>
      <c r="B35" s="12">
        <v>2400</v>
      </c>
      <c r="C35" s="12">
        <v>0</v>
      </c>
      <c r="F35" s="12">
        <v>2400</v>
      </c>
    </row>
    <row r="36" spans="1:8">
      <c r="A36" t="s">
        <v>127</v>
      </c>
      <c r="B36" s="12">
        <v>790</v>
      </c>
      <c r="C36" s="12">
        <v>0</v>
      </c>
      <c r="F36" s="12">
        <v>790</v>
      </c>
    </row>
    <row r="37" spans="1:8">
      <c r="A37" t="s">
        <v>128</v>
      </c>
      <c r="B37" s="12">
        <v>320</v>
      </c>
      <c r="C37" s="12">
        <v>0</v>
      </c>
      <c r="F37" s="12">
        <v>320</v>
      </c>
    </row>
    <row r="38" spans="1:8">
      <c r="A38" t="s">
        <v>129</v>
      </c>
      <c r="B38" s="12">
        <v>29</v>
      </c>
      <c r="C38" s="12">
        <v>0</v>
      </c>
      <c r="F38" s="12">
        <v>29</v>
      </c>
    </row>
    <row r="39" spans="1:8">
      <c r="A39" t="s">
        <v>130</v>
      </c>
      <c r="B39" s="12">
        <v>156.4</v>
      </c>
      <c r="C39" s="12">
        <v>0</v>
      </c>
      <c r="F39" s="12">
        <v>156.4</v>
      </c>
    </row>
    <row r="44" spans="1:8" s="16" customFormat="1">
      <c r="B44" s="17"/>
      <c r="C44" s="17"/>
      <c r="D44" s="17"/>
      <c r="E44" s="17"/>
      <c r="F44" s="17">
        <f>SUM(F2:F43)</f>
        <v>18646.080000000002</v>
      </c>
      <c r="G44" s="17">
        <f>SUM(G2:G43)</f>
        <v>168226.65</v>
      </c>
    </row>
    <row r="45" spans="1:8">
      <c r="F45" s="12">
        <f>F44*12</f>
        <v>223752.96000000002</v>
      </c>
      <c r="G45" s="12">
        <v>168226.65</v>
      </c>
      <c r="H45" s="18">
        <f>F45+G45</f>
        <v>391979.61</v>
      </c>
    </row>
    <row r="49" spans="1:1">
      <c r="A49" t="s">
        <v>131</v>
      </c>
    </row>
    <row r="50" spans="1:1">
      <c r="A50"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2026-03-30T21:14:35Z</dcterms:created>
  <dcterms:modified xsi:type="dcterms:W3CDTF">2026-04-06T13:20:24Z</dcterms:modified>
  <cp:category/>
  <cp:contentStatus/>
</cp:coreProperties>
</file>