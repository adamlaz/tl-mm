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madmobileteam-my.sharepoint.com/personal/ana_chambers_madmobile_com/Documents/Cost Savings/Software Spend/"/>
    </mc:Choice>
  </mc:AlternateContent>
  <xr:revisionPtr revIDLastSave="0" documentId="8_{BCE1D843-81F4-4380-96E3-A7BE52983F44}" xr6:coauthVersionLast="47" xr6:coauthVersionMax="47" xr10:uidLastSave="{00000000-0000-0000-0000-000000000000}"/>
  <bookViews>
    <workbookView xWindow="-120" yWindow="-120" windowWidth="29040" windowHeight="15720" xr2:uid="{E8619620-7B8A-4D55-9F66-3319CC8430A5}"/>
  </bookViews>
  <sheets>
    <sheet name="Master Sheet" sheetId="3" r:id="rId1"/>
    <sheet name="Amex - Jorge" sheetId="1" state="hidden" r:id="rId2"/>
    <sheet name="Amex - Mark F" sheetId="4" state="hidden" r:id="rId3"/>
    <sheet name="Amex - Bruce" sheetId="5" state="hidden" r:id="rId4"/>
    <sheet name="Amex - Greg" sheetId="9" state="hidden" r:id="rId5"/>
    <sheet name="Amex - Ed" sheetId="8" state="hidden" r:id="rId6"/>
    <sheet name="Amex - Anelis" sheetId="7" state="hidden" r:id="rId7"/>
    <sheet name="Amex - Karen" sheetId="10" state="hidden" r:id="rId8"/>
    <sheet name="Amex - David" sheetId="11" state="hidden" r:id="rId9"/>
    <sheet name="Not Active &amp; Dead " sheetId="6" r:id="rId10"/>
    <sheet name="New Amex Charges" sheetId="12" r:id="rId11"/>
  </sheets>
  <definedNames>
    <definedName name="_xlnm._FilterDatabase" localSheetId="1" hidden="1">'Amex - Jorge'!$A$1:$U$76</definedName>
    <definedName name="_xlnm._FilterDatabase" localSheetId="0" hidden="1">'Master Sheet'!$A$1:$M$47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2" l="1"/>
  <c r="H17" i="12"/>
  <c r="J4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tc={BEA703D8-8FDE-4C28-83B6-4BEE4B28838A}</author>
  </authors>
  <commentList>
    <comment ref="D3" authorId="0" shapeId="0" xr:uid="{BEA703D8-8FDE-4C28-83B6-4BEE4B28838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@IBennett  - can you please take a look at this comment. 
Reply:
    @Ana Chambers I removed everyone none essential to get us to the 5 seat minimum, so $125 is the correct projection going forward. The usage is tied to line 6, and has been less than previous months as we have not been leveraging it. I will raise it to $75 to normalize it.
Reply:
    That makes more sense. Thank you!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tc={747181C9-9CE5-493E-A780-CD596F051840}</author>
    <author>tc={801BF8F2-91B3-4096-ACCE-5E77EEA9651D}</author>
  </authors>
  <commentList>
    <comment ref="C12" authorId="0" shapeId="0" xr:uid="{747181C9-9CE5-493E-A780-CD596F05184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@Jorge Maltes do you have admin access to cancel this ?
Reply:
    checking
Reply:
    thanks, please keep me posted. @Jorge Maltes </t>
      </text>
    </comment>
    <comment ref="C15" authorId="1" shapeId="0" xr:uid="{801BF8F2-91B3-4096-ACCE-5E77EEA9651D}">
      <text>
        <t>[Threaded comment]
Your version of Excel allows you to read this threaded comment; however, any edits to it will get removed if the file is opened in a newer version of Excel. Learn more: https://go.microsoft.com/fwlink/?linkid=870924
Comment:
    @Ana Chambers this is now Kaseya Saas Backup - it may be coming in as Kaseya or mixed in with Ed's Kaseya Datto items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tc={32D5D6A3-049D-4EE6-9CDB-3EDFAB179B41}</author>
    <author>tc={56A00FF1-4DE2-4F98-B81E-B7C829F1EEB5}</author>
  </authors>
  <commentList>
    <comment ref="C2" authorId="0" shapeId="0" xr:uid="{32D5D6A3-049D-4EE6-9CDB-3EDFAB179B4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@IBennett  - can you please take a look at this comment. 
Reply:
    @Ana Chambers I removed everyone none essential to get us to the 5 seat minimum, so $125 is the correct projection going forward. The usage is tied to line 6, and has been less than previous months as we have not been leveraging it. I will raise it to $75 to normalize it.
Reply:
    That makes more sense. Thank you! </t>
      </text>
    </comment>
    <comment ref="C3" authorId="1" shapeId="0" xr:uid="{56A00FF1-4DE2-4F98-B81E-B7C829F1EEB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@IBennett  - can you please take a look at this comment. 
Reply:
    @Ana Chambers I removed everyone none essential to get us to the 5 seat minimum, so $125 is the correct projection going forward. The usage is tied to line 6, and has been less than previous months as we have not been leveraging it. I will raise it to $75 to normalize it.
Reply:
    That makes more sense. Thank you! </t>
      </text>
    </comment>
  </commentList>
</comments>
</file>

<file path=xl/sharedStrings.xml><?xml version="1.0" encoding="utf-8"?>
<sst xmlns="http://schemas.openxmlformats.org/spreadsheetml/2006/main" count="1814" uniqueCount="667">
  <si>
    <t xml:space="preserve">Software Name </t>
  </si>
  <si>
    <t xml:space="preserve">MM Owner </t>
  </si>
  <si>
    <t xml:space="preserve">CC Required at Risk </t>
  </si>
  <si>
    <t xml:space="preserve">Notes </t>
  </si>
  <si>
    <t xml:space="preserve">Used For </t>
  </si>
  <si>
    <t xml:space="preserve">Business Impact </t>
  </si>
  <si>
    <t xml:space="preserve">Payment Form </t>
  </si>
  <si>
    <t xml:space="preserve">To Date Total Spend </t>
  </si>
  <si>
    <t xml:space="preserve">Payment Terms </t>
  </si>
  <si>
    <t xml:space="preserve">Payment Projections </t>
  </si>
  <si>
    <t xml:space="preserve">Contract Start Date </t>
  </si>
  <si>
    <t xml:space="preserve">Contract End Date </t>
  </si>
  <si>
    <t xml:space="preserve">Vendor POC </t>
  </si>
  <si>
    <t xml:space="preserve">Cost Savings </t>
  </si>
  <si>
    <t xml:space="preserve">Auto-Renewal </t>
  </si>
  <si>
    <t>ADOBE WEBSALES</t>
  </si>
  <si>
    <t xml:space="preserve">Jorge </t>
  </si>
  <si>
    <t xml:space="preserve">TBD </t>
  </si>
  <si>
    <t xml:space="preserve">2/23 - 3 Accounts total need to see total price per month per (2 accounts) 
3/2 - Ana requested contracts from Jorge to review and determine next steps. 
3/3 - Audit the list of users. Adobe is requesting 1 year upfront. Can we move this to marketplace? Ana sent email. 
3/9 - Meeting scheduled on 3/10 to review account 
3/10 - Meeting with Deepak, Jorge needs to complete the internal audit then Deepak can update our seats. The goal is to move to an enterprise account by 3/22. And we would pay a pro-rated amount. 
3/11 - Internal Audit in flight. 
3/16 - Intenral audit complete (sheet updated). New contract will be from 3/27/26 -8/27/26 for $3,001.45. 
3/19 - Updated contract approved. Deepak will send the invoice to Ana for payment. 
3/24 - Migration in progress, Jorge meeting with Deepak tomorrow to review. </t>
  </si>
  <si>
    <t>Design Tools</t>
  </si>
  <si>
    <r>
      <rPr>
        <strike/>
        <sz val="11"/>
        <color rgb="FF000000"/>
        <rFont val="Aptos Narrow"/>
        <scheme val="minor"/>
      </rPr>
      <t xml:space="preserve">Amex - IT (Jorge) </t>
    </r>
    <r>
      <rPr>
        <sz val="11"/>
        <color rgb="FF000000"/>
        <rFont val="Aptos Narrow"/>
        <scheme val="minor"/>
      </rPr>
      <t xml:space="preserve">Invoice </t>
    </r>
  </si>
  <si>
    <t xml:space="preserve">Monthly (2 Payments) </t>
  </si>
  <si>
    <t>ANTHROPIC, PBC*</t>
  </si>
  <si>
    <t>Ian</t>
  </si>
  <si>
    <t xml:space="preserve">Yes, Medium </t>
  </si>
  <si>
    <t xml:space="preserve">2/23 - 4 People have access: Andy, Kris, Jack, Zach and Don.  
2/25 - Ian, I don't think these numbers are correct. The Amex bill has $300 monthly plus variable usage payments anywhere from $90-300 monthly 
3/2 - Email sent to Ian to start the cleanup and consilolition process.
3/3 - By Friday, can we move this to ChatGPT or an alternative? Ana sent email. 
3/5 - Need to figure out short term payment as this impact Menu Maestro as well. 
3/9 - $100 Credit Added to the API side Account for Menu Maestro. 
3/10 - Chat part will be an issue on 3/15. 
3/17 - Going to be reactive on the payment for the chat part. </t>
  </si>
  <si>
    <t>HIGH - Developer Productivity</t>
  </si>
  <si>
    <t>AI/Development Tools</t>
  </si>
  <si>
    <t xml:space="preserve">Amex - IT (Jorge) </t>
  </si>
  <si>
    <t xml:space="preserve">Monthly </t>
  </si>
  <si>
    <t>NA</t>
  </si>
  <si>
    <t>ATLASSIAN</t>
  </si>
  <si>
    <t xml:space="preserve">Ana </t>
  </si>
  <si>
    <t xml:space="preserve">Yes, High </t>
  </si>
  <si>
    <r>
      <rPr>
        <sz val="11"/>
        <color rgb="FF000000"/>
        <rFont val="Aptos Narrow"/>
      </rPr>
      <t xml:space="preserve">2/23 - Need a summary of how many account and determine a gameplan for cleanup
mark is going to send us the list and let's schedule a follow up session
</t>
    </r>
    <r>
      <rPr>
        <sz val="11"/>
        <color rgb="FF0070C0"/>
        <rFont val="Aptos Narrow"/>
      </rPr>
      <t xml:space="preserve">2/23 Ana sent email to the group 
3/9 - Ana working with Jenna to review our account. Need to link Bitbucket accounts by 3/15. </t>
    </r>
  </si>
  <si>
    <t>Development Platform</t>
  </si>
  <si>
    <t>CRITICAL - Service Disruption</t>
  </si>
  <si>
    <t>CURSOR</t>
  </si>
  <si>
    <t xml:space="preserve">2/23 - Can we cap usage per person? Chris is the highest cost ~3K for this demo. 4/1 it should be closer to 5K per month. 
2/25 - short -erm plan is using Bruce's CC. Long -term plan is thatIan is working to move this under AWS Marketplace. 
2/26 - Ana and Ian woare rking to move this to AWS Marketplace 
3/3 - Need to review contract 
3/4 - Contract will be signed in AWS Marketplace. 
3/5 - Conctractract Accept in AWS.  Need to audit list the list of users and determine if usage is set recently. </t>
  </si>
  <si>
    <r>
      <rPr>
        <strike/>
        <sz val="11"/>
        <color rgb="FF000000"/>
        <rFont val="Aptos Narrow"/>
        <scheme val="minor"/>
      </rPr>
      <t xml:space="preserve">Amex - IT (Jorge) </t>
    </r>
    <r>
      <rPr>
        <sz val="11"/>
        <color rgb="FF000000"/>
        <rFont val="Aptos Narrow"/>
        <scheme val="minor"/>
      </rPr>
      <t xml:space="preserve">AWS Markplace </t>
    </r>
  </si>
  <si>
    <t xml:space="preserve">Annually </t>
  </si>
  <si>
    <t xml:space="preserve">Dialpaid </t>
  </si>
  <si>
    <t xml:space="preserve">3/5 - Met with the team to review the contract. Chathura will sign today. 
3/10 - need to follow up on signatures and getting this paid. </t>
  </si>
  <si>
    <t xml:space="preserve">Sales/CSM/Onboarding </t>
  </si>
  <si>
    <t xml:space="preserve">HIGH </t>
  </si>
  <si>
    <t>Quartely</t>
  </si>
  <si>
    <t>DNH*GODADDY</t>
  </si>
  <si>
    <t>Matias</t>
  </si>
  <si>
    <t xml:space="preserve">TBD, Low </t>
  </si>
  <si>
    <r>
      <rPr>
        <sz val="11"/>
        <color rgb="FF000000"/>
        <rFont val="Aptos Narrow"/>
      </rPr>
      <t xml:space="preserve">2/23 - Ana to update the note. Look to move to Bill.com 
3/2 - Matias is working to provide a list of all the domains then we will move this to Bill.com
3/3 - Ana and Matias need to partner on this one. 
3/9 - Follow up to Matias on the list of domains. 
3/10 - Should be have no impact on this one, but we need to move payment details long-term. 
3/17 - no payment issues thus far. 
</t>
    </r>
    <r>
      <rPr>
        <sz val="11"/>
        <color rgb="FF0070C0"/>
        <rFont val="Aptos Narrow"/>
      </rPr>
      <t xml:space="preserve">3/24 - SSL Cert for MadCloud.Asia. Needed by April 6th. </t>
    </r>
  </si>
  <si>
    <t>Other</t>
  </si>
  <si>
    <t>ELEVENLABS.IO</t>
  </si>
  <si>
    <r>
      <rPr>
        <sz val="11"/>
        <color rgb="FF000000"/>
        <rFont val="Aptos Narrow"/>
      </rPr>
      <t xml:space="preserve">2/23 Need this for AI Phone Agent 
3/3 - Ana and Ian move this to Bill.com. Ana sent email to Ian. 
3/5 - follow up sent. 
3/9 - follow up sent to Ian. AI Phone Agent is blocked. 
3/10 - Follow-up with Michael to make sure they turn on the agent next week if we pay the bill as a one off. 
3/17 - let's hold until next week. 
</t>
    </r>
    <r>
      <rPr>
        <sz val="11"/>
        <color rgb="FF0070C0"/>
        <rFont val="Aptos Narrow"/>
      </rPr>
      <t xml:space="preserve">3/25 - Holding until the end of the week. </t>
    </r>
  </si>
  <si>
    <t>MEDIUM - Security/Operations</t>
  </si>
  <si>
    <t>EXPENSIFY, INC.</t>
  </si>
  <si>
    <t>Manny</t>
  </si>
  <si>
    <r>
      <rPr>
        <sz val="11"/>
        <color rgb="FF000000"/>
        <rFont val="Aptos Narrow"/>
      </rPr>
      <t xml:space="preserve">2/23 - Keep 
3/3 - Ana to send an email to Don and Manny to Bill.com. Ana sent email. 
3/9 - follow up sent 
3/10 - no way to pay via invoice, will need a CC account. 
</t>
    </r>
    <r>
      <rPr>
        <sz val="11"/>
        <color rgb="FF0070C0"/>
        <rFont val="Aptos Narrow"/>
      </rPr>
      <t xml:space="preserve">3/10 - Can we get this for a year via Marketplace? We need this to pay back people. 
3/16 - unable to move to AWS. </t>
    </r>
  </si>
  <si>
    <t>Expense Management</t>
  </si>
  <si>
    <t>Get off see manny</t>
  </si>
  <si>
    <t>Monthly</t>
  </si>
  <si>
    <t>540 - 720</t>
  </si>
  <si>
    <t>GOOGLE SERVICES</t>
  </si>
  <si>
    <t>Jorge</t>
  </si>
  <si>
    <t>Yes, 4/3</t>
  </si>
  <si>
    <r>
      <rPr>
        <sz val="11"/>
        <color rgb="FF000000"/>
        <rFont val="Aptos Narrow"/>
      </rPr>
      <t xml:space="preserve">2/23 - Keep for KDS and Kiosk. Move to bill.com
3/2 - Ana sent an email to Jorge to review account then we can move it to Bill.com
3/3 - Jorge is working to get Ana access to review the account info then we will move to Bill.com 
3/3 - Account will be closed by 4/3. What is the cost of updating the seats to 11? + Google Places? 
3/5 - Waiting on an update from Jorge. 
3/9 - follow up sent. 
3/17 - Internal email sent to Jorge to review 11+ seat upgrade. 
</t>
    </r>
    <r>
      <rPr>
        <sz val="11"/>
        <color rgb="FF0070C0"/>
        <rFont val="Aptos Narrow"/>
      </rPr>
      <t>3/20 - Meeting scheduled for Tuesday to review. 
3/25 - Meeting was moved to Friday to review. 
4/2 - Reduced account down to $97.20 per month from 798.11</t>
    </r>
  </si>
  <si>
    <t>GURU - WWW.GETGURU.C PHILADELPHIA</t>
  </si>
  <si>
    <t>Bailey</t>
  </si>
  <si>
    <t xml:space="preserve">2/23 - Contract Ends in June. They are working on a plan. Ayo/Bailey is running point on where the team plans to move the data. 
3/2 - I don't see this on the Amex bills 
3/3 - We have this month to figure out the plan </t>
  </si>
  <si>
    <t>Knowledge Management</t>
  </si>
  <si>
    <t xml:space="preserve">Hubspot </t>
  </si>
  <si>
    <t xml:space="preserve">Karen </t>
  </si>
  <si>
    <t xml:space="preserve">3/5 - Karen was working on a new quarterly contract. https://na1.hubspotquote.com/public-quote-preview/quotes/4MMCFILJN89TJ4I9
3/9 - Karen is signing contract and moving to Bill.com
3/16 - sent a follow up to Manny and AP to get this on the list to be paid. </t>
  </si>
  <si>
    <t xml:space="preserve">Marketing / Sales </t>
  </si>
  <si>
    <t xml:space="preserve">HOUSTON - COMCAST / XFINITY </t>
  </si>
  <si>
    <t xml:space="preserve">Chip </t>
  </si>
  <si>
    <t xml:space="preserve">2/23 - Houston Warehouse Internet. Move to Bill.com
3/3 - Ana sent ean mail to Chip and Ed. 
3/5 - Need to determine admin for this account. 
3/11 - Chip sent Ana an account to activate. </t>
  </si>
  <si>
    <t>HOUSTON - GFL - ENV</t>
  </si>
  <si>
    <t>Chip</t>
  </si>
  <si>
    <t>2/23 - Garbage for Houston. Move to Bill.com 
3/3 - Ana sent ean mail to Chip and Ed. 
3/5 - Need to determine admin for this account. 
3/11 - Chip is going to add billing@madmobile.com to the account to setup Bill.com</t>
  </si>
  <si>
    <t>Utilities</t>
  </si>
  <si>
    <t xml:space="preserve">HOUSTON - RELIANT ENERGY </t>
  </si>
  <si>
    <t xml:space="preserve">2/23 - Houston Warehouse Bill - Moved to Bill.com 
3/2 - Last payment was in Nov. Need to work with chip and ed on this one. 
3/3 - Ana sent ean mail to Chip and Ed. 
3/5 - Need to determine admin for this account. 
3/11 - Need to get the account details from Bill. </t>
  </si>
  <si>
    <t xml:space="preserve">? </t>
  </si>
  <si>
    <t xml:space="preserve">HOUSTON - Hut Pest Control </t>
  </si>
  <si>
    <t xml:space="preserve">Chip / Ed </t>
  </si>
  <si>
    <t xml:space="preserve">3/5 - Pest Control Monthly Bill for Houston Office. Need to move to Bill.com
3/5 - Call the business to move to Bill.com 
3/11 - Chip added Ana to the account to review. </t>
  </si>
  <si>
    <t xml:space="preserve">Amex - Ed </t>
  </si>
  <si>
    <t>JETBRAINS AMERICAS I SAN MATEO</t>
  </si>
  <si>
    <t>Randy</t>
  </si>
  <si>
    <r>
      <rPr>
        <sz val="11"/>
        <color rgb="FF000000"/>
        <rFont val="Aptos Narrow"/>
      </rPr>
      <t xml:space="preserve">2/23 - Mark - Need to review users 
2/26 - Sent an email to the group with open questions and expressed the need to move this to Bill.com once we have clariftyon the open questions. 
3/2 - sent a follow up email to the group 
3/2 - Rosen provided users, need to review. 
3/3 - Ana will send an email to review the list of users. Jorge/Rosen Admins. Ana sent email. 
3/9 - Internal Audit Complete, Ana reached out to move invoices to Bill.com. Next issue will be 3/16. Unable to offer monthly billing unless we move to an annual contract. 
3/20 - Met with Robert to review contract, no risk for next week as we have a temp code. 
</t>
    </r>
    <r>
      <rPr>
        <sz val="11"/>
        <color rgb="FF0070C0"/>
        <rFont val="Aptos Narrow"/>
      </rPr>
      <t xml:space="preserve">3/24 - Chathura approved new contract, Ana sent a note to Robert to review next steps. New contract is 14 licenses until 3/10/27 </t>
    </r>
  </si>
  <si>
    <t>Developer IDE</t>
  </si>
  <si>
    <t xml:space="preserve">Monthly (multiple payments) </t>
  </si>
  <si>
    <t xml:space="preserve">1500-2100 </t>
  </si>
  <si>
    <t>KASEYA COM</t>
  </si>
  <si>
    <t xml:space="preserve">Ed / Jorge </t>
  </si>
  <si>
    <r>
      <rPr>
        <sz val="11"/>
        <color rgb="FF000000"/>
        <rFont val="Aptos Narrow"/>
      </rPr>
      <t xml:space="preserve">2/23 - CAKE: Manage routers. 
3/3 - Ana sent an email to see what this is being used for.  Datto Access Points
3/3 - 2 different softwares? Can we move this to NinjaOne? Ana sent email. 
3/5 - Our account has been merged to 1 account, Diana Bautista is our account manager. 2 Services: Network Datto Access Points &amp; SaaS Backup Protection. Evergreen without an end date can opt out at any time, Evergreen with an end date is under contract until X date (Several with 12/31/26). Ed and Sarah working together on organzation approach. 
3/10 - It looks like the Amex is not showing the CAKE stuff. 
3/11 - Jorge needs to audit why the bill is so high for SaaS backup monthly. 
3/16 - Mark and Rosen are running an internal review. 
3/19 - Internal audit complete. The Kaseya team moved this CC payment to invoice without our permission. However we are working to reduce the numbers. 
</t>
    </r>
    <r>
      <rPr>
        <sz val="11"/>
        <color rgb="FF0070C0"/>
        <rFont val="Aptos Narrow"/>
      </rPr>
      <t xml:space="preserve">3/24 - Cleaned up account for SaaS backup, but locked into contract until Dec 2026. Ana to review. Everything moved to invoice (without MM permission) </t>
    </r>
  </si>
  <si>
    <t xml:space="preserve">CAKE Router Managment </t>
  </si>
  <si>
    <t xml:space="preserve">Keeper Password Management </t>
  </si>
  <si>
    <t xml:space="preserve">Ana / Mark F </t>
  </si>
  <si>
    <t xml:space="preserve">Password management tool </t>
  </si>
  <si>
    <t xml:space="preserve">Development / Secuirty </t>
  </si>
  <si>
    <t xml:space="preserve">AWS Marketplace </t>
  </si>
  <si>
    <t xml:space="preserve">N/A until Renewal </t>
  </si>
  <si>
    <t xml:space="preserve">No </t>
  </si>
  <si>
    <t>LOVABLE</t>
  </si>
  <si>
    <t xml:space="preserve">Ian </t>
  </si>
  <si>
    <t xml:space="preserve">No, low </t>
  </si>
  <si>
    <t xml:space="preserve">3/2 - Ian reached out to the support team to start the process to move to Bill.com. Are we sure we can't use the free version? 
3/3-  Ian updated our plan from $480 to $50 a month, the change takes effect 3/19
3/9 - Ian is waiting on the bank info from Loveable. Then we can set them up with Bill.com
3/17 - Free plan now, no complaints from the team. Still waiting to hear back from Loveable. </t>
  </si>
  <si>
    <t xml:space="preserve">High - Product Team </t>
  </si>
  <si>
    <t xml:space="preserve">Amex - IT (Greg) </t>
  </si>
  <si>
    <t xml:space="preserve">MICROSOFT (NEO Login) </t>
  </si>
  <si>
    <t>Jorge Lead</t>
  </si>
  <si>
    <t>2/23 - what is this being used for? Randy and Jack. Madmobile.org. Review with Jack when he is back. 
3/2 - Ana sent an email to try and get a breakdown of the charges. This will be a challenge to move off a CC 
3/3 - Ana need to look at the Feb bill to see the costs, the only charge we should see is $270. Need to get this moved over on the NEO side. This can get added to a new card for 30 days. 
3/9 - meeting scheduled on Thursday to review. 
3/10 - Jorge is working on a summary before the Thursday meeting. 
3/16 - Ana sent Jack an email to review. Contracts will be available by Wed the latest. 
3/24 - Ana to follow up on contract and provide approval. 
4/1 - Ana signed new contract. New monthly is $36</t>
  </si>
  <si>
    <t xml:space="preserve">MongoDB Atlas on AWS </t>
  </si>
  <si>
    <t xml:space="preserve">Matias </t>
  </si>
  <si>
    <t xml:space="preserve">Cloud Infra </t>
  </si>
  <si>
    <t xml:space="preserve">AWS - Marketplace </t>
  </si>
  <si>
    <t xml:space="preserve">Montly - Usage </t>
  </si>
  <si>
    <t xml:space="preserve">EULA </t>
  </si>
  <si>
    <t>NPM, INC.</t>
  </si>
  <si>
    <t xml:space="preserve">TBD, Medium </t>
  </si>
  <si>
    <t xml:space="preserve">2/23 - Need to keep and get updated number. Can we move to Bill.com? 
3/2 - Ana sent internal audit email to the group 
3/3 - Mike has been working on this. Let's delete users, and only keep a handful of users (3: Mati, Mike, James). Can we move this to Bill.com. Ana sent email. 
3/10 - Matias updated our plan to only 3 users, need to review how we can downgrade the cost. 
3/11 - From Matias: I cleaned up our npm org memberships for both madmobile and trycake, and the savings are significant:
madmobile: went from 57 members (399/m) down to 4 (28/m)
trycake: went from 78 members (483/m) down to 3 (21/m)
That's 833/m less, ~10K/year on savings
3/11- We will need to figure out billing for next month 
3/17 - Matias and Ana need to review the bill 
3/24 - Need to review. 
3/31 - Matias and Ana confirmed we are using a free account. </t>
  </si>
  <si>
    <t>Package Registry</t>
  </si>
  <si>
    <t>880 -910</t>
  </si>
  <si>
    <t>OPENAI OPCO, LLC*</t>
  </si>
  <si>
    <t xml:space="preserve">Yes, High 3/26 </t>
  </si>
  <si>
    <t xml:space="preserve">2/23 - API side. $1,953 for last year. Avg monthly usage around $75 now.
3/2 - need to review these charges with Ian. 
3/3 - Ana reached out to Christin Klein via LinkedIn to try and get an update. 
3/4 - Added to a one off credit card to ensure all history was not deleted. Have until 3/26 timeframe to determine a POC and figure out a long term plan. 
3/10 - Zach and Nishani are the two biggest users of usage for health scores of customers, they are looking at alternatives (snowflake) 
3/17 - $1,500 due on 3/26 for ChatGPT 
3/24 - let's Audit this list once more, before the next billing cycle. 
3/26 - Updated cc for both. </t>
  </si>
  <si>
    <t>OPENVPN SUBSCRIPTION LAS VEGAS</t>
  </si>
  <si>
    <t xml:space="preserve">TBD, High </t>
  </si>
  <si>
    <r>
      <rPr>
        <sz val="11"/>
        <color rgb="FF000000"/>
        <rFont val="Aptos Narrow"/>
      </rPr>
      <t xml:space="preserve">2/23 - Keep, Need to double check it's not in marketplace 
3/10 - Sent an email to the team to kickoff an internal audit. Cancel plan and move to the free version. 
3/16 - The team looked at the account and is working to downgrade from 75 connections to 40 connections. New estimated payment is $360 per month. 
</t>
    </r>
    <r>
      <rPr>
        <sz val="11"/>
        <color rgb="FF0070C0"/>
        <rFont val="Aptos Narrow"/>
      </rPr>
      <t xml:space="preserve">4/3 - pending signatures on the new contract. Ana is working on it. </t>
    </r>
  </si>
  <si>
    <t>Security/VPN</t>
  </si>
  <si>
    <t>POSTMAN INC.</t>
  </si>
  <si>
    <t xml:space="preserve">TBD, high, 3/14 </t>
  </si>
  <si>
    <r>
      <rPr>
        <sz val="11"/>
        <color rgb="FF000000"/>
        <rFont val="Aptos Narrow"/>
      </rPr>
      <t xml:space="preserve">2/23 - Mark/Chathura - Need to review users 
2/26 - Sent an email to the group with open questions and expressed the need to move this to Bill.com once we have clarift on the open questions. 
3/2 - Need to determine who can cleanup the user list, then we will move this to Bill.com 
3/2 - Matt cleaned up the users. Down to 53 total. 
3/3 - Jorge send Ana contact info and reached out to update Billing info. 
3/10 - waiting on a response from Kevin our rep. 
AWS Marketplace is the goal 
3/11 - followed up again with kevin. 
3/17 - Ana working with Jordan for AWS Marketplace Contact 
</t>
    </r>
    <r>
      <rPr>
        <sz val="11"/>
        <color rgb="FF0070C0"/>
        <rFont val="Aptos Narrow"/>
      </rPr>
      <t xml:space="preserve">3/24 - Ana and Kevin meeting on Wed to Review. </t>
    </r>
  </si>
  <si>
    <t>API Development</t>
  </si>
  <si>
    <t xml:space="preserve">Proofpoint Security </t>
  </si>
  <si>
    <t xml:space="preserve">2/24 - End date is 5/13/26. Proofpoint Security is our Email security gateway and Security awareness training platform.
3/16 - Mark provided the new contract to Ana for review. Decreased by 10K. </t>
  </si>
  <si>
    <t xml:space="preserve">Qualys VMDR ProtectIT </t>
  </si>
  <si>
    <t xml:space="preserve">Mark F </t>
  </si>
  <si>
    <t>2/25 - Qualys is the ASV vulnerability scanner that we have to use to scan all PCI-in scope systems.</t>
  </si>
  <si>
    <t xml:space="preserve">ReliaQuest GreyMatter </t>
  </si>
  <si>
    <t xml:space="preserve">Ana /  Mark F </t>
  </si>
  <si>
    <t>2/24 - End date 4/1/26. Reliaquest Greymatter is our SIEM and SOAR tools. It is my primary tool for responding to alerts from all systems (Entra, M365, AWS Guardduty, Sentinel1, Wiz, etc.)</t>
  </si>
  <si>
    <t xml:space="preserve">SentinelOne Singularity Platform </t>
  </si>
  <si>
    <t>2/25 - Is our EDR (anti-malware) for endpoints and cloud servers.</t>
  </si>
  <si>
    <t>SLACK T04KVDG50 NO COST NOW!</t>
  </si>
  <si>
    <t xml:space="preserve">2/23 - We still have 3 seats, we are pre-paid through Dec 2026. After that it is $150 per month. 
3/10 - Jorge said we won't see another bill for 2 years due to credit. Need to understand what that date is. 
3/25 - Funded until May 2031 with credits. </t>
  </si>
  <si>
    <t>Communication</t>
  </si>
  <si>
    <t xml:space="preserve">Snowflake Capacity </t>
  </si>
  <si>
    <t xml:space="preserve">Ana? </t>
  </si>
  <si>
    <t xml:space="preserve">2/24 - This needs review. I thought we are also charged usage for this? </t>
  </si>
  <si>
    <t xml:space="preserve">Quartely (29th) </t>
  </si>
  <si>
    <t xml:space="preserve">Snyk: Developer Security Platform </t>
  </si>
  <si>
    <t xml:space="preserve">2/24 - Ana had started an email thread again to reduce licenses, we need to revisit this. 
3/24 - We do not want to renew this, we need to do secure development training instead. </t>
  </si>
  <si>
    <t xml:space="preserve">Software screening tool </t>
  </si>
  <si>
    <t>SUPABASE</t>
  </si>
  <si>
    <t>Ian Mark G</t>
  </si>
  <si>
    <t>2/23 - Mark Plans to Cancel by the end of the week 
3/4 - Mark brought database down to 1 project, which converts the plan to a free account.</t>
  </si>
  <si>
    <t>THE UPS STORE 4639</t>
  </si>
  <si>
    <t xml:space="preserve">Jorge / Bill </t>
  </si>
  <si>
    <t>2/23 - Move to Bill.com</t>
  </si>
  <si>
    <t>Shipping</t>
  </si>
  <si>
    <t>TWILIO INC moving to inv feb</t>
  </si>
  <si>
    <t xml:space="preserve">2/23 - Nothing on CC, it's all in Bill.com 
2/27 - Jorge is working with Ben to consolidate and should have an update next week 
3/17 - Ana met with beB to review the accounts. Several action items to follow. Full understanding of 6 SendGrid accounts. Cleanup is needed. 
3/23 - Ana approved moving 2 CAKE SendGrid accounts under Mad Mobile and invoice for all. 
4/3 - all accounts moved to ACH payments. </t>
  </si>
  <si>
    <t>Communication API</t>
  </si>
  <si>
    <t>TWILIO SENDGRID - EMAILS</t>
  </si>
  <si>
    <t xml:space="preserve">Ubuntu </t>
  </si>
  <si>
    <t xml:space="preserve">Semi-Annually </t>
  </si>
  <si>
    <t xml:space="preserve">Vanta </t>
  </si>
  <si>
    <t xml:space="preserve">2/24 - Keep. Ana and Mark just updated the contract in Dec. </t>
  </si>
  <si>
    <t xml:space="preserve">Audit / Security </t>
  </si>
  <si>
    <t>VZWRLSS APOCC VISB</t>
  </si>
  <si>
    <t xml:space="preserve">2/23 - New to replace At&amp;T. Replaces Sales tool. Need to move to Bill.com 
3/2 - Need to send an email to Jorge to start the process to move this to Bill.com
3/10 - sent a note to Jorge to determine POC. 
3/16 - Jorge can pull the invoices and add them to Bill.com, but we need to know when the next bill is due. 
3/17 - Outstanding payment of 1,414.19 needs to be paid ASAP. Next Billing cycle is 4/4 and Verizon will send an email to AP for monthly billing. 
3/19- Ana request that service is not impacted while we work on paying the bill. 
4/3 - Mark is setting up ACH payments moving foward. </t>
  </si>
  <si>
    <t xml:space="preserve">WIZ Cloud </t>
  </si>
  <si>
    <t xml:space="preserve">Mark F / Matias </t>
  </si>
  <si>
    <t>2/25 - Wiz Cloud is our CNAPP tool. Provides Cloud security posture management to find and fix vulnerabilities and misconfigurations across the entire cloud environment.</t>
  </si>
  <si>
    <t>HIGH</t>
  </si>
  <si>
    <t>ZAPIER.COM/CHARGE</t>
  </si>
  <si>
    <t xml:space="preserve">Zubair </t>
  </si>
  <si>
    <r>
      <rPr>
        <sz val="11"/>
        <color rgb="FF000000"/>
        <rFont val="Aptos Narrow"/>
      </rPr>
      <t xml:space="preserve">2/23 - Ana send an email to Roopa w/ Zubair on CC 
2/25 - Email sent to Roopa 
</t>
    </r>
    <r>
      <rPr>
        <sz val="11"/>
        <color rgb="FF0070C0"/>
        <rFont val="Aptos Narrow"/>
      </rPr>
      <t xml:space="preserve">3/10 - Zubair is going to review with Roopa, Mark needs to do a security review 
3/16 - follow up sent to Zubair. 
3/17 - Ana to provide costs to Zubair. 
3/24 - Ana to follow up with Zubair. </t>
    </r>
  </si>
  <si>
    <t>ST Registry AB*</t>
  </si>
  <si>
    <t xml:space="preserve">3/6 - Domain was going to expire and it's used for Gues Manager, Chathura paid via personal PayPal account for 1 year. </t>
  </si>
  <si>
    <t xml:space="preserve">PayPal - Personal </t>
  </si>
  <si>
    <t xml:space="preserve">Meta Pay </t>
  </si>
  <si>
    <t xml:space="preserve">3/10 - Marketing Ads </t>
  </si>
  <si>
    <t xml:space="preserve">SAGE API </t>
  </si>
  <si>
    <r>
      <rPr>
        <sz val="11"/>
        <color rgb="FF000000"/>
        <rFont val="Aptos Narrow"/>
        <scheme val="minor"/>
      </rPr>
      <t xml:space="preserve">3/16 - Ben scheduled a meeting with our contact to review how we can reduce costs. No follow ups yet. 
</t>
    </r>
    <r>
      <rPr>
        <sz val="11"/>
        <color rgb="FF0070C0"/>
        <rFont val="Aptos Narrow"/>
        <scheme val="minor"/>
      </rPr>
      <t>3/17 - 100K calls per month and we are averaging 300K per month. .15 for the extra calls. it's via Bill.com</t>
    </r>
  </si>
  <si>
    <t>MetroFax</t>
  </si>
  <si>
    <t xml:space="preserve">Akshay </t>
  </si>
  <si>
    <t xml:space="preserve">3/16 - We have to fax in the documents received from the merchant for chargebacks to Worldpay. This integration is between Mad Mobile and Worldpay.
3/17 - Chathura is going to review with Akshay and let us know. </t>
  </si>
  <si>
    <t xml:space="preserve">Payments </t>
  </si>
  <si>
    <t>WPENGINE.COM</t>
  </si>
  <si>
    <t xml:space="preserve">Karen / Jorge </t>
  </si>
  <si>
    <t xml:space="preserve">2/23 - why do we have 2? Jorge, why do we have 2 line items? 
3/2 - send an email to Karen to understand what this is used for 
3/3 - Jorge said this had already been cancled. We need to check the Feb / March Amex bill </t>
  </si>
  <si>
    <t>Cancllation Owner</t>
  </si>
  <si>
    <t>Date of Contact</t>
  </si>
  <si>
    <t>Last Payment Deadline</t>
  </si>
  <si>
    <t xml:space="preserve">Ana Notes </t>
  </si>
  <si>
    <t>Date moved to invoice</t>
  </si>
  <si>
    <t>Vendor</t>
  </si>
  <si>
    <t>Owner</t>
  </si>
  <si>
    <t>ACTION</t>
  </si>
  <si>
    <t>Business_Impact</t>
  </si>
  <si>
    <t>Service_Type</t>
  </si>
  <si>
    <t>Total_Spent</t>
  </si>
  <si>
    <t>Charge_Count</t>
  </si>
  <si>
    <t>Avg_Charge</t>
  </si>
  <si>
    <t>First_Charge</t>
  </si>
  <si>
    <t>Last_Charge</t>
  </si>
  <si>
    <t>Invoice_Potential</t>
  </si>
  <si>
    <t>Action_Required</t>
  </si>
  <si>
    <t>Invoice_Contact</t>
  </si>
  <si>
    <t>Migration_Status</t>
  </si>
  <si>
    <t>Alternative_Payment</t>
  </si>
  <si>
    <t>Notes</t>
  </si>
  <si>
    <t xml:space="preserve">2/23 - Need a summary of how many account and determine a gameplan for cleanup 
mark is going to send us the list and let's schedule a follow up session 
2/23 Ana sent email to the group </t>
  </si>
  <si>
    <t>MEETING REP to disc move ot INV</t>
  </si>
  <si>
    <t>YES - Contact vendor</t>
  </si>
  <si>
    <t xml:space="preserve">2/23 - 3 Accounts total need to see total price per month per (2 accounts) </t>
  </si>
  <si>
    <t>ADOBE Adobe Systems</t>
  </si>
  <si>
    <t>Want Creative Cloud inv payment upfront for one year</t>
  </si>
  <si>
    <t>OPENAI *CHATGPT SUBS SAN FRANCISCO</t>
  </si>
  <si>
    <t>NO - Card only</t>
  </si>
  <si>
    <t>CURSOR, AI POWERED I NEW YORK</t>
  </si>
  <si>
    <t xml:space="preserve">2/23 - Mark/Chathura - Need to review users </t>
  </si>
  <si>
    <t>POSTMAN BASIC(MONTHL SAN FRANCISCO</t>
  </si>
  <si>
    <t>Matt to forward email with pricing changes or keep existing Basic.  Must be other plans. Need to reduce (we are paying for 119 seats, but Matt reduced down to 74).  Could adjust to 80 seats,</t>
  </si>
  <si>
    <t xml:space="preserve">2/23 - Nothing on CC, it's all in Bill.com </t>
  </si>
  <si>
    <t>Mark</t>
  </si>
  <si>
    <t>Moving to INV</t>
  </si>
  <si>
    <t>Add to above needed</t>
  </si>
  <si>
    <t>Jorge added to Scope with REP</t>
  </si>
  <si>
    <t xml:space="preserve">2/23 - Mark - Need to review users </t>
  </si>
  <si>
    <t>Jetbrains/IntelliJ - need to reduce number of users, but is critical</t>
  </si>
  <si>
    <t xml:space="preserve">2/23 - We still have 3 seats, we are pre-paid through Dec 2026. After that it is $150 per month. </t>
  </si>
  <si>
    <t>KEEP</t>
  </si>
  <si>
    <t xml:space="preserve">2/23 - Old Sales Kits, Chip is working to move these to Verizon by 3/15. Ana will send an email to Chip. </t>
  </si>
  <si>
    <t>AT&amp;T</t>
  </si>
  <si>
    <t>CLOSING ONCE VZN wifi is deployed</t>
  </si>
  <si>
    <t xml:space="preserve">2/23 - Turn it off. Can Zubair turn it off? Or who has access? </t>
  </si>
  <si>
    <t>SENTRY</t>
  </si>
  <si>
    <t>Turn off</t>
  </si>
  <si>
    <t>Monitoring/Alerting</t>
  </si>
  <si>
    <t>Do we need this?</t>
  </si>
  <si>
    <t xml:space="preserve">2/23 - Contract Ends in June. They are working on a plan. Ayo/Bailey is running point on where the team plans to move the data. </t>
  </si>
  <si>
    <t xml:space="preserve">Mark </t>
  </si>
  <si>
    <t>2/24 - no live support, via chat</t>
  </si>
  <si>
    <t>2/23 - Mark is going to cancel 
2/26 - Mark got confirmation via chat that the account was canceled.</t>
  </si>
  <si>
    <t>INSTABUG</t>
  </si>
  <si>
    <t>CANCELLED</t>
  </si>
  <si>
    <t>Impact?</t>
  </si>
  <si>
    <t xml:space="preserve">2/23 - Need to keep and get updated number. Can we move to Bill.com? </t>
  </si>
  <si>
    <t>Zubair</t>
  </si>
  <si>
    <t xml:space="preserve">2/23 - Keep </t>
  </si>
  <si>
    <t xml:space="preserve">Ana / Zubair </t>
  </si>
  <si>
    <t xml:space="preserve">2/23 - what is this being used for? Randy and Jack. Madmobile.org. Review with Jack when he is back. </t>
  </si>
  <si>
    <t>MICROSOFT</t>
  </si>
  <si>
    <t>Engaging vendor to move test seats to invoices</t>
  </si>
  <si>
    <t>WP ENGINE</t>
  </si>
  <si>
    <t>Karen</t>
  </si>
  <si>
    <t>KAREN TURN OFF</t>
  </si>
  <si>
    <t xml:space="preserve">2/23 - Keep, Need to double check it's not in marketplace </t>
  </si>
  <si>
    <t>AWS MARKET MAYBE?</t>
  </si>
  <si>
    <t xml:space="preserve">Jorge / Ana </t>
  </si>
  <si>
    <t xml:space="preserve">2/23 - Keep, CAKE Alerts. Ask James? Jira Service Desk was updated to premium </t>
  </si>
  <si>
    <t>OPSGENIE</t>
  </si>
  <si>
    <t xml:space="preserve">James </t>
  </si>
  <si>
    <t>keep</t>
  </si>
  <si>
    <t xml:space="preserve">2/23 - Can we cap usage per person? Chris is the highest cost ~3K for this demo. 4/1 it should be closer to 5K per month. </t>
  </si>
  <si>
    <t>CURSOR USAGE MID</t>
  </si>
  <si>
    <t xml:space="preserve">2/23 - James retail needs to be capped at 30. License is at 4K devices. Goal end of April </t>
  </si>
  <si>
    <t>SIMPLEMDM</t>
  </si>
  <si>
    <t>James</t>
  </si>
  <si>
    <t>Device Management</t>
  </si>
  <si>
    <t>Working with James to move to NinjaOne and close</t>
  </si>
  <si>
    <t xml:space="preserve">2/23 - CAKE: Manage routers. </t>
  </si>
  <si>
    <t>Jorge Chip</t>
  </si>
  <si>
    <t>Cake support router mgmnt remote</t>
  </si>
  <si>
    <t xml:space="preserve">2/23 - Houston Warehouse Bill - Moved to Bill.com </t>
  </si>
  <si>
    <t>RELIANT ENERGY HOUSTON</t>
  </si>
  <si>
    <t>2/24 - no live support, via chat and sent webform</t>
  </si>
  <si>
    <t xml:space="preserve">2/23 - Mark will call </t>
  </si>
  <si>
    <t>WWW.RUNN.IO</t>
  </si>
  <si>
    <t xml:space="preserve">2/23 - Need List </t>
  </si>
  <si>
    <t>AMAZON MARKEPLACE NA</t>
  </si>
  <si>
    <t>Office supplies</t>
  </si>
  <si>
    <t xml:space="preserve">2/23 - Already canceled. Need to double check no payment in March. </t>
  </si>
  <si>
    <t>ZOOM.COM 888-799-966 SAN JOSE</t>
  </si>
  <si>
    <t>JORGE: Email rep and checked feb bill no ZOOM Charge.</t>
  </si>
  <si>
    <t>None</t>
  </si>
  <si>
    <t>Cancelled MARCH END</t>
  </si>
  <si>
    <t xml:space="preserve">2/23 - Garbage for Houston. Need to Bill.com </t>
  </si>
  <si>
    <t>GFL - ENV</t>
  </si>
  <si>
    <t>Chip Trash?</t>
  </si>
  <si>
    <t xml:space="preserve">2/23 - Business Critical. Need to keep. </t>
  </si>
  <si>
    <t>BACKUPIFY</t>
  </si>
  <si>
    <t>Backup/DR</t>
  </si>
  <si>
    <t>KASAYA Contact new REP Diana Bautista</t>
  </si>
  <si>
    <t xml:space="preserve">Ana / James </t>
  </si>
  <si>
    <t xml:space="preserve">2/23 - Can James cancel this in the portal? </t>
  </si>
  <si>
    <t>APPSPECTOR.COM</t>
  </si>
  <si>
    <t>Anthony</t>
  </si>
  <si>
    <t>can turn off on friday</t>
  </si>
  <si>
    <t xml:space="preserve">Same as above. </t>
  </si>
  <si>
    <t>CURSOR USAGE</t>
  </si>
  <si>
    <t>MIRO.COM</t>
  </si>
  <si>
    <t>Mark G</t>
  </si>
  <si>
    <t>Who has admin login?</t>
  </si>
  <si>
    <t>ATLASSIAN STATUSPAGE SAN FRANCISCO</t>
  </si>
  <si>
    <t>design</t>
  </si>
  <si>
    <t>BITRISE LIMITED</t>
  </si>
  <si>
    <t>menupad related</t>
  </si>
  <si>
    <t xml:space="preserve">2/23 - Ana send an email to Roopa w/ Zubair on CC </t>
  </si>
  <si>
    <t>Eriq</t>
  </si>
  <si>
    <t xml:space="preserve">2/23 - Jorge when was the last payment for this? </t>
  </si>
  <si>
    <t>B2 PAYMENTS USA 0795 DELRAY BEACH</t>
  </si>
  <si>
    <t xml:space="preserve">2/23 - Only a few people have access, Jack, Harsh, Dan, Harsh? Ian is going to get the numbers </t>
  </si>
  <si>
    <t>ANTHROPIC: CLAUDE TE SAN FRANCISCO</t>
  </si>
  <si>
    <t xml:space="preserve">2/23 - Backup the code after 2/27 and then delete it. </t>
  </si>
  <si>
    <t>GITHUB, INC.</t>
  </si>
  <si>
    <t xml:space="preserve">2/23 - why do we have 2? Jorge, why do we have 2 line items? </t>
  </si>
  <si>
    <t xml:space="preserve">2/23 - Ana / James working on this. </t>
  </si>
  <si>
    <t>SCREENCONNECT 0668</t>
  </si>
  <si>
    <t>MOVE TO FREE TOOL OR VNC ASAP work with James</t>
  </si>
  <si>
    <t xml:space="preserve">2/23 - Plugin for Chris G for Figma. Jorge can you look at cost? </t>
  </si>
  <si>
    <t>LEMSQZY* ANTFORFIGMA SALT LAKE CITY</t>
  </si>
  <si>
    <t>Design Tools - Chris G</t>
  </si>
  <si>
    <t>INTERCOM.IO</t>
  </si>
  <si>
    <t>CLOUDCRAFT PRO M</t>
  </si>
  <si>
    <t xml:space="preserve">Mark G </t>
  </si>
  <si>
    <t>2/23 - Keep for KDS and Kiosk. Move to bill.com</t>
  </si>
  <si>
    <t>GOOGLE*GSUITE_MADMOB MOUNTAIN VIEW</t>
  </si>
  <si>
    <t>Can add banking as payment method and get off CC -Randy test labs - Manny said no</t>
  </si>
  <si>
    <t xml:space="preserve">2/23 - New to replace At&amp;T. Replaces Sales tool. Need to move to Bill.com </t>
  </si>
  <si>
    <t>Need manual pull inv send ot AP not auto - Silencer was doing things like that</t>
  </si>
  <si>
    <t xml:space="preserve">2/23 - Can we use the free version? </t>
  </si>
  <si>
    <t>WWW.CHROMATIC.COM</t>
  </si>
  <si>
    <t xml:space="preserve">2/23 - Hardware and device management. Random one off. </t>
  </si>
  <si>
    <t>APPLE.COM/US</t>
  </si>
  <si>
    <t>FORMSTACK, LLC</t>
  </si>
  <si>
    <t>2/23 - API side. $1,953 for last year. Avg monthly usage around $75 now.</t>
  </si>
  <si>
    <t>OPENAI</t>
  </si>
  <si>
    <t xml:space="preserve">Chip / Ana </t>
  </si>
  <si>
    <t xml:space="preserve">2/23 - We should move this to Bill.com </t>
  </si>
  <si>
    <t>HTTPS://MAZE.DESIGN</t>
  </si>
  <si>
    <t>A1010BUSD01</t>
  </si>
  <si>
    <t xml:space="preserve">2/23 - Ana to update the note. Look to move to Bill.com </t>
  </si>
  <si>
    <t>Need Matias input</t>
  </si>
  <si>
    <t xml:space="preserve">2/23 - API usage base. MM is using it. </t>
  </si>
  <si>
    <t xml:space="preserve">ANTHROPIC API </t>
  </si>
  <si>
    <t>2/23 - Houston Warehouse Internet. Move to Bill.com</t>
  </si>
  <si>
    <t>COMCAST / XFINITY HOUSTON???</t>
  </si>
  <si>
    <t xml:space="preserve">2/23 - Closed last week. March is last billing. </t>
  </si>
  <si>
    <t>SOLARWINDS CLOUD TEAM CLOSE IT!!</t>
  </si>
  <si>
    <t>CLOUD Moving to prometheus and closing ASAP</t>
  </si>
  <si>
    <t xml:space="preserve">2/23 - Who is using it? Cloud? </t>
  </si>
  <si>
    <t>DOCKER, INC.</t>
  </si>
  <si>
    <t>FS *PINGMAN</t>
  </si>
  <si>
    <t>Wifi Jorge close verify</t>
  </si>
  <si>
    <t>APPLE.COM/BILL</t>
  </si>
  <si>
    <t>SCREENCONNECT</t>
  </si>
  <si>
    <t xml:space="preserve">2/23 - Ian closed down on Friday. March should have no bills. </t>
  </si>
  <si>
    <t>QDRANT</t>
  </si>
  <si>
    <t xml:space="preserve">Cancelled </t>
  </si>
  <si>
    <t>2COCOM*EASEUS</t>
  </si>
  <si>
    <t>Jorge Mark G</t>
  </si>
  <si>
    <t>WWW.HOTJAR.COM</t>
  </si>
  <si>
    <t xml:space="preserve">2/23 - Who owns the Fedex account? They should only use UPS. Mark Needs to run point on closing the account. </t>
  </si>
  <si>
    <t>FEDEX506280235 FedEx MEMPHIS</t>
  </si>
  <si>
    <t>FEDEX506280234 FedEx MEMPHIS</t>
  </si>
  <si>
    <t>SUMOME.COM</t>
  </si>
  <si>
    <t>Jake Mark G</t>
  </si>
  <si>
    <t>QODO.AI</t>
  </si>
  <si>
    <t>Ian MARK G</t>
  </si>
  <si>
    <t xml:space="preserve"> Cancelled 7/1/2025</t>
  </si>
  <si>
    <t>Canceling</t>
  </si>
  <si>
    <t>FEDEX506356906 FedEx MEMPHIS</t>
  </si>
  <si>
    <t>CLOUDMERSIVE LLC</t>
  </si>
  <si>
    <t>BDOW SUMO</t>
  </si>
  <si>
    <t>Jake Linder... marktg??</t>
  </si>
  <si>
    <t>CCSI METROFAX</t>
  </si>
  <si>
    <t xml:space="preserve">2/23 Need this for AI Phone Agent </t>
  </si>
  <si>
    <t>AI Voice Agent</t>
  </si>
  <si>
    <t>Our AI Support agent</t>
  </si>
  <si>
    <t>FEDEX506154446 FedEx MEMPHIS</t>
  </si>
  <si>
    <t xml:space="preserve">2/23 - One time use. Need to cancel. </t>
  </si>
  <si>
    <t>PADDLE.NET* FLOWBITE NEW YORK</t>
  </si>
  <si>
    <t>Chris G</t>
  </si>
  <si>
    <t>Full Name</t>
  </si>
  <si>
    <t>Cardmember Acct. No.</t>
  </si>
  <si>
    <t>Control Acct. Name</t>
  </si>
  <si>
    <t>Control Acct. No.</t>
  </si>
  <si>
    <t>Business Process Date</t>
  </si>
  <si>
    <t>Charge Date</t>
  </si>
  <si>
    <t>Supplier Name</t>
  </si>
  <si>
    <t>Transaction ID</t>
  </si>
  <si>
    <t>Transaction Description</t>
  </si>
  <si>
    <t>Net Billed Amount</t>
  </si>
  <si>
    <t>Charge Amount</t>
  </si>
  <si>
    <t>Credit Amount</t>
  </si>
  <si>
    <t>MARK FREID</t>
  </si>
  <si>
    <t>3791-283453-61002</t>
  </si>
  <si>
    <t>CAKE CORPORATION</t>
  </si>
  <si>
    <t>3791-122755-41007</t>
  </si>
  <si>
    <t>VZWRLSS APOCC VISB   800-922-0204       FL</t>
  </si>
  <si>
    <t>American Express</t>
  </si>
  <si>
    <t>ANNUAL MEMBERSHIP RENEWAL FEE</t>
  </si>
  <si>
    <t>BRUCE H BENNETT</t>
  </si>
  <si>
    <t>3792-190270-22002</t>
  </si>
  <si>
    <t>JJT OPTIMA LLC</t>
  </si>
  <si>
    <t>REFORMINGRETAIL      THE WOODLANDS      TX</t>
  </si>
  <si>
    <t>LINKEDIN CORPORATION</t>
  </si>
  <si>
    <t>LINKEDIN SN P9376768 MOUNTAIN VIEW      US</t>
  </si>
  <si>
    <t>TWITTER INC</t>
  </si>
  <si>
    <t>X CORP. PAID FEATURE BASTROP            TX</t>
  </si>
  <si>
    <t>OPENAI, LLC</t>
  </si>
  <si>
    <t>OPENAI *CHATGPT SUBS SAN FRANCISCO      CA</t>
  </si>
  <si>
    <t>GREGORY SCHMITZER</t>
  </si>
  <si>
    <t>3794-022822-52007</t>
  </si>
  <si>
    <t>ANTHROPIC, PBC</t>
  </si>
  <si>
    <t>CLAUDE.AI SUBSCRIPTI SAN FRANCISCO      CA</t>
  </si>
  <si>
    <t>ATT MOB REC</t>
  </si>
  <si>
    <t>ATT* BILL PAYMENT    DALLAS             TX</t>
  </si>
  <si>
    <t>BOULON BRASSERIE</t>
  </si>
  <si>
    <t>TST* BOULON BRASSERI TAMPA              FL</t>
  </si>
  <si>
    <t>CANVA PTY LTD</t>
  </si>
  <si>
    <t>CANVA* I04707-511716 CAMDEN             DE</t>
  </si>
  <si>
    <t>CURSOR, AI POWERED I NEW YORK           NY</t>
  </si>
  <si>
    <t>ELEVEN LABS INC.</t>
  </si>
  <si>
    <t>ELEVENLABS.IO        NEW YORK           NY</t>
  </si>
  <si>
    <t>FIGMA, INC.</t>
  </si>
  <si>
    <t>FIGMA                SAN FRANCISCO      CA</t>
  </si>
  <si>
    <t>FREEPIK US, INC.</t>
  </si>
  <si>
    <t>FC* FREEPIK ESSENTIA WILMINGTON         DE</t>
  </si>
  <si>
    <t>GOOGLE *SERVICES</t>
  </si>
  <si>
    <t>GOOGLE *YOUTUBEPREMI G.CO/HELPPAY#      CA</t>
  </si>
  <si>
    <t>GOOGLE*CLOUD 4VXD3H  MOUNTAIN VIEW      CA</t>
  </si>
  <si>
    <t>GOOGLE *GOOGLE ONE   G.CO/HELPPAY#      CA</t>
  </si>
  <si>
    <t>HIGGSFIELD INC.</t>
  </si>
  <si>
    <t>HIGGSFIELD INC.      SAN FRANCISCO      CA</t>
  </si>
  <si>
    <t>LINKEDINPREC *086538 MOUNTAIN VIEW      US</t>
  </si>
  <si>
    <t>LOVABLE LABS INCORPORATED</t>
  </si>
  <si>
    <t>LOVABLE              DOVER              DE</t>
  </si>
  <si>
    <t>PERPLEXITY AI, INC</t>
  </si>
  <si>
    <t>WWW.PERPLEXITY.AI    SAN FRANCISCO      CA</t>
  </si>
  <si>
    <t>SUPABASE PTE LTD</t>
  </si>
  <si>
    <t>SUPABASE             SINGAPORE</t>
  </si>
  <si>
    <t>TPA STREET PARKING 2</t>
  </si>
  <si>
    <t>TPA STREET PARKING 2 TAMPA              FL</t>
  </si>
  <si>
    <t>UBER PASS</t>
  </si>
  <si>
    <t>UBER ONE MEMBERSHIP  HTTPS://HELP.UBER. CA</t>
  </si>
  <si>
    <t>EDWARD PIPER</t>
  </si>
  <si>
    <t>3794-210021-61009</t>
  </si>
  <si>
    <t>HUT PEST CONTROL, LLC</t>
  </si>
  <si>
    <t>HUT PEST CONTROL, LL CYPRESS            TX</t>
  </si>
  <si>
    <t>AMAZON.COM LLC</t>
  </si>
  <si>
    <t>AMAZON.COM*NK0R46G82 AMZN.COM/BILL      WA</t>
  </si>
  <si>
    <t>MONOPRICE</t>
  </si>
  <si>
    <t>MONOPRICE, INC.      RANCHO CUCOMANGA   CA</t>
  </si>
  <si>
    <t>AMAZON.COM           AMZN.COM/BILL      WA</t>
  </si>
  <si>
    <t>TAPEJUNGLE.COM</t>
  </si>
  <si>
    <t>BT*TAPEJUNGLE.COM    MIAMI              FL</t>
  </si>
  <si>
    <t>AMAZON MARKEPLACE NA  PA</t>
  </si>
  <si>
    <t>AMAZON MKTPL*B808O8F AMZN.COM/BILL      WA</t>
  </si>
  <si>
    <t>KROGER 396</t>
  </si>
  <si>
    <t>KROGER #396 00000039 HOUSTON            TX</t>
  </si>
  <si>
    <t>AMAZON.COM*B84C95QZ2 AMZN.COM/BILL      WA</t>
  </si>
  <si>
    <t>AMAZON MKTPL*B85NM32 AMZN.COM/BILL      WA</t>
  </si>
  <si>
    <t>UPRINTING</t>
  </si>
  <si>
    <t>DRI*PACKLANE         888-222-4929       CA</t>
  </si>
  <si>
    <t>GETBRANDED.COM</t>
  </si>
  <si>
    <t>SP GETBRANDED.COM ST PIEDMONT           SC</t>
  </si>
  <si>
    <t>ANELIS FIGUEREDO</t>
  </si>
  <si>
    <t>3794-277101-22001</t>
  </si>
  <si>
    <t>INSTACART</t>
  </si>
  <si>
    <t>IC* COSTCO BY INSTAC SAN FRANCISCO      CA</t>
  </si>
  <si>
    <t>UPS UIS-US</t>
  </si>
  <si>
    <t>UPS 29KAJEJEN50      ATLANTA            GA</t>
  </si>
  <si>
    <t>CANTEENVENDING</t>
  </si>
  <si>
    <t>CANTEENVENDING CAFE  SAINT PETERSB      FL</t>
  </si>
  <si>
    <t>BEST BUY DIRECT 2682</t>
  </si>
  <si>
    <t>BESTBUYDIRECTFWINSTA RICHFIELD          MN</t>
  </si>
  <si>
    <t>BESTBUYDIRECTITESURV RICHFIELD          MN</t>
  </si>
  <si>
    <t>UPS 1Z71KG0T12009443 ATLANTA            GA</t>
  </si>
  <si>
    <t>UPS 1Z71KG0T42233230 ATLANTA            GA</t>
  </si>
  <si>
    <t>UPS 29ROFLFC7JL      ATLANTA            GA</t>
  </si>
  <si>
    <t>IC* INSTACART        SAN FRANCISCO      CA</t>
  </si>
  <si>
    <t>AMAZON MKTPL*B83WN3G AMZN.COM/BILL      WA</t>
  </si>
  <si>
    <t>INDEED.COM</t>
  </si>
  <si>
    <t>INDEED JOBS          AUSTIN             TX</t>
  </si>
  <si>
    <t>UPS 1Z71KG0T02395612 ATLANTA            GA</t>
  </si>
  <si>
    <t>UPS 29TOJGJH6R9      ATLANTA            GA</t>
  </si>
  <si>
    <t>UPS 1Z71KG0T13053379 ATLANTA            GA</t>
  </si>
  <si>
    <t>UPS 29WAQAQDLKN      ATLANTA            GA</t>
  </si>
  <si>
    <t>UPS 000071KG0T       ATLANTA            GA</t>
  </si>
  <si>
    <t>FAX.COM</t>
  </si>
  <si>
    <t>CCSI FAX.OM          LOS ANGELES        CA</t>
  </si>
  <si>
    <t>EZCATER</t>
  </si>
  <si>
    <t>EZCATER*MOES SOUTHWE BOSTON             MA</t>
  </si>
  <si>
    <t>AMAZON MKTPL*B011H2G AMZN.COM/BILL      WA</t>
  </si>
  <si>
    <t>UBER</t>
  </si>
  <si>
    <t>UBER TRIP            HTTPS://HELP.UBER. CA</t>
  </si>
  <si>
    <t>EZCATER*CAPRIOTTIS   BOSTON             MA</t>
  </si>
  <si>
    <t>IC* INSTACART*159    SAN FRANCISCO      CA</t>
  </si>
  <si>
    <t>SYNTHESIA LIMITED</t>
  </si>
  <si>
    <t>SYNTHESIA LIMITED    LONDON</t>
  </si>
  <si>
    <t>UBER EATS</t>
  </si>
  <si>
    <t>UBER EATS            HTTPS://HELP.UBER. CA</t>
  </si>
  <si>
    <t>KAREN LICKER</t>
  </si>
  <si>
    <t>3794-317503-41000</t>
  </si>
  <si>
    <t>BODA MEXICAN TAMPA LLC</t>
  </si>
  <si>
    <t>CKE*BODA MEXICAN TAM TAMPA              FL</t>
  </si>
  <si>
    <t>CUSTOMINK LLC</t>
  </si>
  <si>
    <t>CUSTOMINK GROUPS     FAIRFAX            VA</t>
  </si>
  <si>
    <t>FACEBOOK ADVERTISING</t>
  </si>
  <si>
    <t>FACEBK *9YHWT5ZT32   MENLO PARK         US</t>
  </si>
  <si>
    <t>HUBSPOT INC</t>
  </si>
  <si>
    <t>HUBSPOT INC.         CAMBRIDGE, MASSACH MA</t>
  </si>
  <si>
    <t>LINKEDIN PRE P639608 MOUNTAIN VIEW      US</t>
  </si>
  <si>
    <t>METAPAY</t>
  </si>
  <si>
    <t>FACEBK *MV4B         FB.ME/CC           CA</t>
  </si>
  <si>
    <t>PUBLIX STR# 0006</t>
  </si>
  <si>
    <t>PUBLIX #006 00000000 WESLEY CHAPEL      FL</t>
  </si>
  <si>
    <t>TARGET T1382</t>
  </si>
  <si>
    <t>TARGET        013821 WESLEY CHAPEL      FL</t>
  </si>
  <si>
    <t>DAVID STRAINICK</t>
  </si>
  <si>
    <t>3794-344982-51002</t>
  </si>
  <si>
    <t>ALESSI BAKERY</t>
  </si>
  <si>
    <t>ALESSI BAKERY 068880 TAMPA              FL</t>
  </si>
  <si>
    <t>STARBUCKS CARD EGIFT</t>
  </si>
  <si>
    <t>CS *STARBUCKS GC     877-850-1977       ME</t>
  </si>
  <si>
    <t>1-800-FLOWERS.COM</t>
  </si>
  <si>
    <t>1-800-FLOWERS.COM    JERICHO            NY</t>
  </si>
  <si>
    <t>AMAZON.COM*B03QB5MF2 AMZN.COM/BILL      WA</t>
  </si>
  <si>
    <t>AMAZON.COM*B01C182U1 AMZN.COM/BILL      WA</t>
  </si>
  <si>
    <t>DEAD - 2COCOM*EASEUS</t>
  </si>
  <si>
    <t xml:space="preserve">2/23 - Mark Plans to Cancel by the end of the week 
3/3 - This will not be activated ever again. </t>
  </si>
  <si>
    <t>DEAD - AMAZON MARKEPLACE NA</t>
  </si>
  <si>
    <t>j</t>
  </si>
  <si>
    <t>DEAD - BDOW SUMO</t>
  </si>
  <si>
    <t xml:space="preserve">2/23 - Mark Plans to Cancel by the end of the week </t>
  </si>
  <si>
    <t>DEAD - BITRISE LIMITED</t>
  </si>
  <si>
    <t>DEAD - CHROMA SOFTWARE, INC.</t>
  </si>
  <si>
    <t xml:space="preserve">???? </t>
  </si>
  <si>
    <t xml:space="preserve">3/2 - This was not on the sheet, but is on the Amex bill </t>
  </si>
  <si>
    <t>DEAD - CLOUDMERSIVE LLC</t>
  </si>
  <si>
    <t>DEAD - FORMSTACK, LLC</t>
  </si>
  <si>
    <t>DEAD - INTELLISTACK LLC</t>
  </si>
  <si>
    <t>???</t>
  </si>
  <si>
    <t>3/2 - What is this used for? This was not previously on the sheet</t>
  </si>
  <si>
    <t>DEAD - INTERCOM.IO</t>
  </si>
  <si>
    <t>NOT ACTIVE - A1010BUSD01</t>
  </si>
  <si>
    <t xml:space="preserve">2/23 - Mark Plans to Cancel by the end of the week 
2/25 - Mark I think this is already canceled, it was not on the Dec &amp; Jan Amex Bill </t>
  </si>
  <si>
    <t>NOT ACTIVE - APPSPECTOR.COM</t>
  </si>
  <si>
    <t xml:space="preserve">2/23 - Can James cancel this in the portal? 
2/25 - James does not have admin access, Jorge can you cancel? 
3/2 - follow-up request sent to Jorge 
3/3 - Jorge rec'd approval to cancel via email. This should be done by EOD. Done. </t>
  </si>
  <si>
    <t xml:space="preserve">Monlthy (2 payments) </t>
  </si>
  <si>
    <t>NOT ACTIVE - ATLASSIAN STATUSPAGE SAN FRANCISCO</t>
  </si>
  <si>
    <t xml:space="preserve">2/23 - Mark Plans to Cancel by the end of the week 
3/2 -  Mark please don't worry about this one, I don't see this on the Dec &amp; Jan bill. </t>
  </si>
  <si>
    <t>NOT ACTIVE - B2 PAYMENTS USA 0795 DELRAY BEACH</t>
  </si>
  <si>
    <t xml:space="preserve">2/23 - Jorge when was the last payment for this? 
3/2 - Nothing on the Dec &amp; Jan Amex Bill </t>
  </si>
  <si>
    <t>NOT ACTIVE - BACKUPIFY</t>
  </si>
  <si>
    <r>
      <rPr>
        <sz val="11"/>
        <color rgb="FF000000"/>
        <rFont val="Aptos Narrow"/>
      </rPr>
      <t xml:space="preserve">2/23 - Business Critical. Need to keep. 
</t>
    </r>
    <r>
      <rPr>
        <sz val="11"/>
        <color rgb="FF0070C0"/>
        <rFont val="Aptos Narrow"/>
      </rPr>
      <t xml:space="preserve">3/2 - This is not on the Amex for Dec and Jan, was this already moved to Bill.com? </t>
    </r>
  </si>
  <si>
    <t>NOT ACTIVE - CLOUDCRAFT PRO M</t>
  </si>
  <si>
    <t>NOT ACTIVE - DATADOG, INC.</t>
  </si>
  <si>
    <t xml:space="preserve">3/2 - Ana cancled this in Feb. Need to ensure no payment for the month of March on the amex. </t>
  </si>
  <si>
    <t>NOT ACTIVE - DOCKER, INC.</t>
  </si>
  <si>
    <t xml:space="preserve">2/23 - Who is using it? Cloud? 
2/25 - Matias said this was already canceled, confirmed via Amex Dec &amp; Jan Bill </t>
  </si>
  <si>
    <t>NOT ACTIVE - FS *PINGMAN</t>
  </si>
  <si>
    <t xml:space="preserve">2/23 - Jorge to review.
3/3 - already canceled in Aug </t>
  </si>
  <si>
    <t>NOT ACTIVE - GITHUB, INC.</t>
  </si>
  <si>
    <t xml:space="preserve">2/23 - Backup the code after 2/27 and then delete it. 
3/2 - Ana sent an email to the group asking for a plan. 
3/2 - Jorge needs to access the account, but blocked by Robert's MFA 
3/2 - Chathura said via email let's shut it down. 
3/3 - Jorge said this will be completed by EOD today. 
3/5 - Rosen downgraded to the free plan. Kicks in 3/16. </t>
  </si>
  <si>
    <t>NOT ACTIVE - HTTPS://MAZE.DESIGN</t>
  </si>
  <si>
    <t>NOT ACTIVE - INSTABUG</t>
  </si>
  <si>
    <t>2/23 - Mark is going to cancel. 
3/2 - Mark this one should be a top priroritybased on cost. 
3/3 - Canceled on Friday via Chat</t>
  </si>
  <si>
    <t>NOT ACTIVE - LEMSQZY* ANTFORFIGMA SALT LAKE CITY</t>
  </si>
  <si>
    <t xml:space="preserve">2/23 - Plugin for Chris G for Figma. Jorge can you look at cost? 
3/2 - I don't think we need to worry about this as this is not on the Amex bill for Dec &amp; Jan </t>
  </si>
  <si>
    <t> </t>
  </si>
  <si>
    <t>NOT ACTIVE - MIRO.COM --&gt; REALTIMEBOARD INC. DBA MIRO</t>
  </si>
  <si>
    <t xml:space="preserve">2/23 - Mark Plans to Cancel by the end of the week 
3/2 - I only see an amex charge for this in Dec and not Jan </t>
  </si>
  <si>
    <t>NOT ACTIVE - PADDLE.NET* FLOWBITE NEW YORK</t>
  </si>
  <si>
    <t xml:space="preserve">2/23 - One time use. Need to cancel. 
3/2 - Nothing on the Amex for Dec &amp; Jan. </t>
  </si>
  <si>
    <t>NOT ACTIVE - QDRANT</t>
  </si>
  <si>
    <t>NOT ACTIVE - SENTRY</t>
  </si>
  <si>
    <t xml:space="preserve">Ana / Jorge </t>
  </si>
  <si>
    <t xml:space="preserve">2/23 - Turn it off. Can Zubair turn it off? Or who has access? 
2/24 - James checked the account and this is already not being billed due to the CC. Jorge needs to go in as admin and cancel the account. 
2/25 - Emailed Jorge to cancel. 
3/2 - canceled. </t>
  </si>
  <si>
    <t>NOT ACTIVE - SOLARWINDS</t>
  </si>
  <si>
    <t>NOT ACTIVE - SUMOME.COM</t>
  </si>
  <si>
    <t xml:space="preserve">2/23 - Mark Plans to Cancel by the end of the week 
3/2 - I don't see this on the Amex for Dec and Jan </t>
  </si>
  <si>
    <t>NOT ACTIVE - WWW.HOTJAR.COM</t>
  </si>
  <si>
    <t>NOT ACTIVE - ZOOM.COM 888-799-966 SAN JOSE</t>
  </si>
  <si>
    <t xml:space="preserve">2/23 - Already canceled. Need to double check no payment in March. 
2/24 Vendor confirmed via email the account is closed. </t>
  </si>
  <si>
    <t xml:space="preserve">Jorge to provide details </t>
  </si>
  <si>
    <t>DEAD - QODO.AI</t>
  </si>
  <si>
    <t xml:space="preserve">Mark G. </t>
  </si>
  <si>
    <t>DEAD - RUNN FAST LIMITED</t>
  </si>
  <si>
    <t xml:space="preserve">2/23 - Mark Plans to Cancel by the end of the week 
3/2 - This needs to get cancled ASAP. This has not been used since Alexia was here. </t>
  </si>
  <si>
    <t xml:space="preserve">2/23 - Mark Plans to Cancel by the end of the week 
3/2 - Maybe this is the same thing as Chroma Software?? </t>
  </si>
  <si>
    <t xml:space="preserve">NOT ACTIVE - Formstack </t>
  </si>
  <si>
    <t xml:space="preserve">3/4 - Roopa sent an email that our account was canceled. Need to see the invoice to determine payment. 
3/5 - Follow up sent to the email thread. </t>
  </si>
  <si>
    <t>NOT ACTIVE - OPSGENIE</t>
  </si>
  <si>
    <t xml:space="preserve">2/23 - Keep, CAKE Alerts. Ask James? Jira Service Desk was updated to premium 
3/2 - Is this still active? I only see a payment for Dec and not Jan. Or it might not be billed Monthly. 
3/10 - Email sent to determine Admin, this is critical for L2 Support. $241.20 12/20 
3/11 - This is no longer needed. The team swtiched over to Jira Service Manager. </t>
  </si>
  <si>
    <t>?</t>
  </si>
  <si>
    <t xml:space="preserve">DEAD - HiggsField </t>
  </si>
  <si>
    <t xml:space="preserve">Karen / Chris </t>
  </si>
  <si>
    <t xml:space="preserve">3/5 - Please keep from Karen. Need to figure out what this is used for and move to Bill.com
3/10 - Let's review with Brent to see how he is using this one. 
3/11 - Karen and Brent agreed to let this die out. </t>
  </si>
  <si>
    <t>Marketing</t>
  </si>
  <si>
    <t xml:space="preserve">Amex - Karen </t>
  </si>
  <si>
    <t xml:space="preserve">DEAD - CONNECTWISE </t>
  </si>
  <si>
    <t xml:space="preserve">2/23 - working with James on a plan to close this by the end of the month. 
3/2 - the goal is to cancel this by 3/15
3/5 - reached out to the team to determine who is the admin. 
3/9 - Rosen is an admin. Still on track for 3/16 cancel. 
3/11 - they went ahead and canceled our account. </t>
  </si>
  <si>
    <t xml:space="preserve">NOT ACTIVE - SHOPIFY-CHARGE.COM </t>
  </si>
  <si>
    <t xml:space="preserve">3/2 - Let's look into this and see if this is still needed 
3/10 - Email sent to Zubair to review. Can we go back to the free version? 
3/10 - Plan is cancled effective 3/12. </t>
  </si>
  <si>
    <t>NOT ACTIVE - SPECTRUM</t>
  </si>
  <si>
    <t xml:space="preserve">3/2 - I only see a payment in Jan for this? 
3/10 - Is this moved to bill.com after the issues on Friday? 
3/10 - The account will be shut down on April 1st. All lab moves are done. </t>
  </si>
  <si>
    <t xml:space="preserve">AT&amp;T - WILL BE DEAD </t>
  </si>
  <si>
    <r>
      <rPr>
        <sz val="11"/>
        <color rgb="FF000000"/>
        <rFont val="Aptos Narrow"/>
      </rPr>
      <t xml:space="preserve">2/23 - Old Sales Kits, Chip is working to move these to Verizon by 3/15. Ana will send an email to Chip. 
2/24 - Email sent to Chip. 
3/2 - followed up with Chip to make sure we are all good. 
3/3 Jorge is going to start an email thread with Anelis to get this canceled. Ana sent an email to kick things off. 
3/5 - Jorge emailed billings asking for a POC to end our contract. Ana and Anelis on cc. 
</t>
    </r>
    <r>
      <rPr>
        <sz val="11"/>
        <color rgb="FF0070C0"/>
        <rFont val="Aptos Narrow"/>
      </rPr>
      <t xml:space="preserve">3/9 - Ana sent a follow-up </t>
    </r>
  </si>
  <si>
    <t>NOT ACTIVE - SIMPLEMDM</t>
  </si>
  <si>
    <r>
      <rPr>
        <sz val="11"/>
        <color rgb="FF000000"/>
        <rFont val="Aptos Narrow"/>
      </rPr>
      <t xml:space="preserve">2/23 - James retail needs to be capped at 30. License is at 4K devices. Goal end of April 
2/25 - goals is to close this out by 3/15. 
</t>
    </r>
    <r>
      <rPr>
        <sz val="11"/>
        <color rgb="FF0070C0"/>
        <rFont val="Aptos Narrow"/>
      </rPr>
      <t xml:space="preserve">3/2 - Ana and James are actively working on this one. </t>
    </r>
  </si>
  <si>
    <t xml:space="preserve">Twilio - Reduce Users </t>
  </si>
  <si>
    <t xml:space="preserve">Jetbrains </t>
  </si>
  <si>
    <t>Paid on 3/25 and 3/26</t>
  </si>
  <si>
    <t xml:space="preserve">ANTHROPIC, PBC*(API) </t>
  </si>
  <si>
    <t xml:space="preserve">3/26 - The API part is specifically used for Menu Mastero, at this point we don't have enough data on how much the monthly cost will be, but we will continue to monitor. Right now we are set to renew at $100 worth of credits. </t>
  </si>
  <si>
    <t xml:space="preserve">Menu Maestro for API Credits </t>
  </si>
  <si>
    <r>
      <rPr>
        <strike/>
        <sz val="11"/>
        <color rgb="FF000000"/>
        <rFont val="Aptos Narrow"/>
        <scheme val="minor"/>
      </rPr>
      <t xml:space="preserve">Amex - IT (Jorge) 
</t>
    </r>
    <r>
      <rPr>
        <sz val="11"/>
        <color rgb="FF000000"/>
        <rFont val="Aptos Narrow"/>
        <scheme val="minor"/>
      </rPr>
      <t>Amex - Bill</t>
    </r>
  </si>
  <si>
    <t xml:space="preserve">Monthly (Usage Base once we run of credits) </t>
  </si>
  <si>
    <t xml:space="preserve">N/A until we run out of credits </t>
  </si>
  <si>
    <t xml:space="preserve">ANTHROPIC, PBC*(Claude Chat) </t>
  </si>
  <si>
    <t xml:space="preserve">3/26 - Paid $125 to reactivate Claude Chat. </t>
  </si>
  <si>
    <t>Sales Projections</t>
  </si>
  <si>
    <t xml:space="preserve">Monthly - 15th of the Month </t>
  </si>
  <si>
    <t xml:space="preserve">3/25 - Ana Updated All Atlassian Accounts except for Bitbucket - Mad Mobile </t>
  </si>
  <si>
    <t xml:space="preserve">Code Repos, Documentation, Ticketing for All Projects </t>
  </si>
  <si>
    <t xml:space="preserve">Montly (Multiple Payments - Estimate) </t>
  </si>
  <si>
    <t xml:space="preserve">3/25 - A cleanup has already been done to save 2K. We need to do another cleanup for the upcoming payments. There is no projection amounts it's based on when the domain name expires. </t>
  </si>
  <si>
    <t xml:space="preserve">Random - Domain Renewals </t>
  </si>
  <si>
    <t xml:space="preserve">3/25 - Turning service back on, Ian is working on a plan with Michael and Ayo to continue to use this for support. </t>
  </si>
  <si>
    <t xml:space="preserve">Use Cases: AI Support Phone Agent </t>
  </si>
  <si>
    <t xml:space="preserve">Monthly - 9th of the Month </t>
  </si>
  <si>
    <t xml:space="preserve">Monthly (Usage Based) </t>
  </si>
  <si>
    <t xml:space="preserve">OPENAI OPCO, LLC (ChatGPT) </t>
  </si>
  <si>
    <t xml:space="preserve">3/26 - Corporate ChatGPT Account, team will continue to monitor who has access and cleanup on a monthly basis. </t>
  </si>
  <si>
    <t xml:space="preserve">Corporate ChatGPT </t>
  </si>
  <si>
    <t xml:space="preserve">OPENAI OPCO, LLC (API Usage) </t>
  </si>
  <si>
    <t xml:space="preserve">3/26 - OpenAI API Usage for the customer health score, no consistent #. We are setting the monthly credits to $50, will monitor for the next quarter and re-evaluate. </t>
  </si>
  <si>
    <t xml:space="preserve">Customer HealthScore </t>
  </si>
  <si>
    <t xml:space="preserve">WorldPay Merchant Charge Backs </t>
  </si>
  <si>
    <t xml:space="preserve">Paid by Bill.com for overdue bill. </t>
  </si>
  <si>
    <t xml:space="preserve">Use Cases: Admin Portal and CAKE University </t>
  </si>
  <si>
    <t xml:space="preserve">Monthly - 28th of the Month </t>
  </si>
  <si>
    <t xml:space="preserve">Postaman </t>
  </si>
  <si>
    <t xml:space="preserve">Rosen </t>
  </si>
  <si>
    <t xml:space="preserve">3/26 - Rosen and Ana paid the overdue invoice for $2,761 &amp; $239. New total moving forward should be $1,334. And the other account was canceled. </t>
  </si>
  <si>
    <t>Frontier</t>
  </si>
  <si>
    <t xml:space="preserve">3/26 - Made a one time payment to re-activate our lab. This will go towards a credit on our account once the checks are processed. </t>
  </si>
  <si>
    <t xml:space="preserve">n/a keep to Bill.com </t>
  </si>
  <si>
    <t>NameCheap</t>
  </si>
  <si>
    <t xml:space="preserve">3/26 - We purchased the SSL CertMadcloud Asia Cert in prep for CM ticket </t>
  </si>
  <si>
    <t xml:space="preserve">Retail APAC Cert </t>
  </si>
  <si>
    <t xml:space="preserve">Amex - Bill </t>
  </si>
  <si>
    <t xml:space="preserve">One Time Charge </t>
  </si>
  <si>
    <t xml:space="preserve">n/a </t>
  </si>
  <si>
    <t xml:space="preserve">Microsoft </t>
  </si>
  <si>
    <t xml:space="preserve">3/30 - Finalizing the contract for monthly billing at $36. Was reduced from $270+ per month. </t>
  </si>
  <si>
    <t xml:space="preserve">Retail Logins for Testing </t>
  </si>
  <si>
    <t xml:space="preserve">Has not been charged yet. </t>
  </si>
  <si>
    <t xml:space="preserve">Subtotals </t>
  </si>
  <si>
    <t xml:space="preserve">Marketing: Validation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</si>
</sst>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37">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1"/>
      <color theme="1"/>
      <name val="Aptos Narrow"/>
      <family val="2"/>
      <scheme val="minor"/>
    </font>
    <font>
      <i/>
      <sz val="11"/>
      <color theme="1"/>
      <name val="Aptos Narrow"/>
      <family val="2"/>
      <scheme val="minor"/>
    </font>
    <font>
      <b/>
      <sz val="11"/>
      <color rgb="FFFF0000"/>
      <name val="Aptos Narrow"/>
      <family val="2"/>
      <scheme val="minor"/>
    </font>
    <font>
      <sz val="11"/>
      <color rgb="FF000000"/>
      <name val="Aptos Narrow"/>
      <family val="2"/>
      <scheme val="minor"/>
    </font>
    <font>
      <b/>
      <sz val="11"/>
      <color rgb="FF000000"/>
      <name val="Aptos Narrow"/>
      <family val="2"/>
      <scheme val="minor"/>
    </font>
    <font>
      <sz val="11"/>
      <color rgb="FF0070C0"/>
      <name val="Aptos Narrow"/>
      <family val="2"/>
      <scheme val="minor"/>
    </font>
    <font>
      <strike/>
      <sz val="11"/>
      <color theme="1"/>
      <name val="Aptos Narrow"/>
      <family val="2"/>
      <scheme val="minor"/>
    </font>
    <font>
      <b/>
      <strike/>
      <sz val="11"/>
      <color rgb="FFFF0000"/>
      <name val="Aptos Narrow"/>
      <family val="2"/>
      <scheme val="minor"/>
    </font>
    <font>
      <b/>
      <strike/>
      <sz val="11"/>
      <color theme="1"/>
      <name val="Aptos Narrow"/>
      <family val="2"/>
      <scheme val="minor"/>
    </font>
    <font>
      <sz val="11"/>
      <color rgb="FF000000"/>
      <name val="Aptos Narrow"/>
    </font>
    <font>
      <sz val="11"/>
      <color rgb="FF0070C0"/>
      <name val="Aptos Narrow"/>
    </font>
    <font>
      <sz val="11"/>
      <color theme="1"/>
      <name val="Aptos Narrow"/>
    </font>
    <font>
      <i/>
      <sz val="11"/>
      <color rgb="FF000000"/>
      <name val="Aptos Narrow"/>
    </font>
    <font>
      <sz val="11"/>
      <color rgb="FFFF0000"/>
      <name val="Aptos Narrow"/>
    </font>
    <font>
      <u/>
      <sz val="11"/>
      <color theme="10"/>
      <name val="Aptos Narrow"/>
      <family val="2"/>
      <scheme val="minor"/>
    </font>
    <font>
      <sz val="11"/>
      <color rgb="FF000000"/>
      <name val="Aptos Narrow"/>
      <scheme val="minor"/>
    </font>
    <font>
      <sz val="11"/>
      <color rgb="FF0070C0"/>
      <name val="Aptos Narrow"/>
      <scheme val="minor"/>
    </font>
    <font>
      <sz val="11"/>
      <color theme="1"/>
      <name val="Aptos Narrow"/>
      <scheme val="minor"/>
    </font>
    <font>
      <strike/>
      <sz val="11"/>
      <color rgb="FF000000"/>
      <name val="Aptos Narrow"/>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39997558519241921"/>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0" fontId="32" fillId="0" borderId="0" applyNumberFormat="0" applyFill="0" applyBorder="0" applyAlignment="0" applyProtection="0"/>
  </cellStyleXfs>
  <cellXfs count="68">
    <xf numFmtId="0" fontId="0" fillId="0" borderId="0" xfId="0"/>
    <xf numFmtId="14" fontId="0" fillId="0" borderId="0" xfId="0" applyNumberFormat="1"/>
    <xf numFmtId="0" fontId="16" fillId="0" borderId="0" xfId="0" applyFont="1"/>
    <xf numFmtId="0" fontId="18" fillId="0" borderId="0" xfId="0" applyFont="1"/>
    <xf numFmtId="0" fontId="19" fillId="0" borderId="0" xfId="0" applyFont="1"/>
    <xf numFmtId="0" fontId="0" fillId="33" borderId="0" xfId="0" applyFill="1"/>
    <xf numFmtId="0" fontId="20" fillId="0" borderId="0" xfId="0" applyFont="1"/>
    <xf numFmtId="0" fontId="0" fillId="34" borderId="0" xfId="0" applyFill="1"/>
    <xf numFmtId="0" fontId="0" fillId="0" borderId="0" xfId="0" applyAlignment="1">
      <alignment wrapText="1"/>
    </xf>
    <xf numFmtId="0" fontId="21" fillId="0" borderId="0" xfId="0" applyFont="1"/>
    <xf numFmtId="0" fontId="22" fillId="0" borderId="0" xfId="0" applyFont="1"/>
    <xf numFmtId="14" fontId="21" fillId="0" borderId="0" xfId="0" applyNumberFormat="1" applyFont="1"/>
    <xf numFmtId="0" fontId="21" fillId="0" borderId="0" xfId="0" applyFont="1" applyAlignment="1">
      <alignment wrapText="1"/>
    </xf>
    <xf numFmtId="14" fontId="0" fillId="33" borderId="0" xfId="0" applyNumberFormat="1" applyFill="1"/>
    <xf numFmtId="0" fontId="0" fillId="33" borderId="0" xfId="0" applyFill="1" applyAlignment="1">
      <alignment wrapText="1"/>
    </xf>
    <xf numFmtId="0" fontId="16" fillId="0" borderId="0" xfId="0" applyFont="1" applyAlignment="1">
      <alignment horizontal="left"/>
    </xf>
    <xf numFmtId="44" fontId="16" fillId="0" borderId="0" xfId="42" applyFont="1" applyAlignment="1">
      <alignment horizontal="left"/>
    </xf>
    <xf numFmtId="0" fontId="0" fillId="0" borderId="0" xfId="0" applyAlignment="1">
      <alignment horizontal="left"/>
    </xf>
    <xf numFmtId="14" fontId="0" fillId="0" borderId="0" xfId="0" applyNumberFormat="1" applyAlignment="1">
      <alignment horizontal="left"/>
    </xf>
    <xf numFmtId="44" fontId="0" fillId="0" borderId="0" xfId="42" applyFont="1" applyAlignment="1">
      <alignment horizontal="left"/>
    </xf>
    <xf numFmtId="0" fontId="0" fillId="33" borderId="0" xfId="0" applyFill="1" applyAlignment="1">
      <alignment horizontal="left"/>
    </xf>
    <xf numFmtId="14" fontId="0" fillId="33" borderId="0" xfId="0" applyNumberFormat="1" applyFill="1" applyAlignment="1">
      <alignment horizontal="left"/>
    </xf>
    <xf numFmtId="44" fontId="0" fillId="33" borderId="0" xfId="42" applyFont="1" applyFill="1" applyAlignment="1">
      <alignment horizontal="left"/>
    </xf>
    <xf numFmtId="44" fontId="0" fillId="0" borderId="0" xfId="42" applyFont="1" applyFill="1" applyAlignment="1">
      <alignment horizontal="left"/>
    </xf>
    <xf numFmtId="164" fontId="0" fillId="0" borderId="0" xfId="0" applyNumberFormat="1"/>
    <xf numFmtId="44" fontId="0" fillId="0" borderId="0" xfId="0" applyNumberFormat="1"/>
    <xf numFmtId="44" fontId="0" fillId="33" borderId="0" xfId="0" applyNumberFormat="1" applyFill="1"/>
    <xf numFmtId="0" fontId="23" fillId="0" borderId="0" xfId="0" applyFont="1" applyAlignment="1">
      <alignment wrapText="1"/>
    </xf>
    <xf numFmtId="0" fontId="24" fillId="0" borderId="0" xfId="0" applyFont="1"/>
    <xf numFmtId="0" fontId="24" fillId="0" borderId="0" xfId="0" applyFont="1" applyAlignment="1">
      <alignment wrapText="1"/>
    </xf>
    <xf numFmtId="0" fontId="25" fillId="0" borderId="0" xfId="0" applyFont="1"/>
    <xf numFmtId="0" fontId="26" fillId="0" borderId="0" xfId="0" applyFont="1"/>
    <xf numFmtId="14" fontId="24" fillId="0" borderId="0" xfId="0" applyNumberFormat="1" applyFont="1"/>
    <xf numFmtId="0" fontId="0" fillId="34" borderId="0" xfId="0" applyFill="1" applyAlignment="1">
      <alignment wrapText="1"/>
    </xf>
    <xf numFmtId="16" fontId="0" fillId="0" borderId="0" xfId="0" applyNumberFormat="1" applyAlignment="1">
      <alignment wrapText="1"/>
    </xf>
    <xf numFmtId="0" fontId="27" fillId="0" borderId="0" xfId="0" applyFont="1" applyAlignment="1">
      <alignment wrapText="1"/>
    </xf>
    <xf numFmtId="0" fontId="28" fillId="0" borderId="0" xfId="0" applyFont="1" applyAlignment="1">
      <alignment wrapText="1"/>
    </xf>
    <xf numFmtId="39" fontId="0" fillId="0" borderId="0" xfId="0" applyNumberFormat="1"/>
    <xf numFmtId="0" fontId="27" fillId="0" borderId="0" xfId="0" applyFont="1"/>
    <xf numFmtId="0" fontId="14" fillId="0" borderId="0" xfId="0" applyFont="1"/>
    <xf numFmtId="0" fontId="29" fillId="0" borderId="0" xfId="0" applyFont="1" applyAlignment="1">
      <alignment wrapText="1"/>
    </xf>
    <xf numFmtId="0" fontId="30" fillId="0" borderId="0" xfId="0" applyFont="1"/>
    <xf numFmtId="0" fontId="31" fillId="0" borderId="0" xfId="0" applyFont="1"/>
    <xf numFmtId="44" fontId="16" fillId="0" borderId="0" xfId="0" applyNumberFormat="1" applyFont="1"/>
    <xf numFmtId="164" fontId="16" fillId="0" borderId="0" xfId="0" applyNumberFormat="1" applyFont="1"/>
    <xf numFmtId="0" fontId="0" fillId="35" borderId="0" xfId="0" applyFill="1"/>
    <xf numFmtId="0" fontId="27" fillId="35" borderId="0" xfId="0" applyFont="1" applyFill="1"/>
    <xf numFmtId="0" fontId="27" fillId="36" borderId="0" xfId="0" applyFont="1" applyFill="1"/>
    <xf numFmtId="0" fontId="27" fillId="37" borderId="0" xfId="0" applyFont="1" applyFill="1"/>
    <xf numFmtId="0" fontId="33" fillId="0" borderId="0" xfId="0" applyFont="1" applyAlignment="1">
      <alignment wrapText="1"/>
    </xf>
    <xf numFmtId="0" fontId="32" fillId="0" borderId="0" xfId="43"/>
    <xf numFmtId="0" fontId="0" fillId="36" borderId="0" xfId="0" applyFill="1"/>
    <xf numFmtId="0" fontId="27" fillId="38" borderId="0" xfId="0" applyFont="1" applyFill="1"/>
    <xf numFmtId="164" fontId="0" fillId="33" borderId="0" xfId="0" applyNumberFormat="1" applyFill="1"/>
    <xf numFmtId="0" fontId="35" fillId="0" borderId="0" xfId="0" applyFont="1" applyAlignment="1">
      <alignment wrapText="1"/>
    </xf>
    <xf numFmtId="0" fontId="27" fillId="39" borderId="0" xfId="0" applyFont="1" applyFill="1"/>
    <xf numFmtId="0" fontId="0" fillId="39" borderId="0" xfId="0" applyFill="1"/>
    <xf numFmtId="0" fontId="27" fillId="39" borderId="0" xfId="0" applyFont="1" applyFill="1" applyAlignment="1">
      <alignment wrapText="1"/>
    </xf>
    <xf numFmtId="0" fontId="16" fillId="0" borderId="0" xfId="0" applyFont="1" applyAlignment="1">
      <alignment wrapText="1"/>
    </xf>
    <xf numFmtId="0" fontId="31" fillId="0" borderId="0" xfId="0" applyFont="1" applyAlignment="1">
      <alignment wrapText="1"/>
    </xf>
    <xf numFmtId="164" fontId="0" fillId="0" borderId="0" xfId="0" applyNumberFormat="1" applyAlignment="1">
      <alignment wrapText="1"/>
    </xf>
    <xf numFmtId="164" fontId="0" fillId="35" borderId="0" xfId="0" applyNumberFormat="1" applyFill="1"/>
    <xf numFmtId="0" fontId="27" fillId="37" borderId="0" xfId="0" applyFont="1" applyFill="1" applyAlignment="1">
      <alignment wrapText="1"/>
    </xf>
    <xf numFmtId="0" fontId="0" fillId="37" borderId="0" xfId="0" applyFill="1"/>
    <xf numFmtId="164" fontId="0" fillId="37" borderId="0" xfId="0" applyNumberFormat="1" applyFill="1"/>
    <xf numFmtId="0" fontId="29" fillId="37" borderId="0" xfId="0" applyFont="1" applyFill="1" applyAlignment="1">
      <alignment wrapText="1"/>
    </xf>
    <xf numFmtId="0" fontId="0" fillId="37" borderId="0" xfId="0" applyFill="1" applyAlignment="1">
      <alignment wrapText="1"/>
    </xf>
    <xf numFmtId="0" fontId="27" fillId="40" borderId="0" xfId="0"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5C49DE19-7B80-407B-8D8B-7E0774CEDB46}">
    <Anchor>
      <Comment id="{BEA703D8-8FDE-4C28-83B6-4BEE4B28838A}"/>
    </Anchor>
    <History>
      <Event time="2026-02-26T20:30:37.52" id="{97325AEA-D818-4EBD-9541-FAD7BAE5D578}">
        <Attribution userId="S::ana.chambers@madmobile.com::ce43bb35-6af3-4fb7-ad02-7c53f24146fa" userName="Ana Chambers" userProvider="AD"/>
        <Anchor>
          <Comment id="{BEA703D8-8FDE-4C28-83B6-4BEE4B28838A}"/>
        </Anchor>
        <Create/>
      </Event>
      <Event time="2026-02-26T20:30:37.52" id="{12E6B862-087C-450E-9900-79F29FA63FF8}">
        <Attribution userId="S::ana.chambers@madmobile.com::ce43bb35-6af3-4fb7-ad02-7c53f24146fa" userName="Ana Chambers" userProvider="AD"/>
        <Anchor>
          <Comment id="{BEA703D8-8FDE-4C28-83B6-4BEE4B28838A}"/>
        </Anchor>
        <Assign userId="S::ibennett@madmobile.com::0ef347d8-741c-4c9d-a014-e1be6f23ffab" userName="IBennett" userProvider="AD"/>
      </Event>
      <Event time="2026-02-26T20:30:37.52" id="{13B0F0E2-E0FC-418A-BA3A-507F5F443095}">
        <Attribution userId="S::ana.chambers@madmobile.com::ce43bb35-6af3-4fb7-ad02-7c53f24146fa" userName="Ana Chambers" userProvider="AD"/>
        <Anchor>
          <Comment id="{BEA703D8-8FDE-4C28-83B6-4BEE4B28838A}"/>
        </Anchor>
        <SetTitle title="@IBennett - can you please take a look at this comment."/>
      </Event>
    </History>
  </Task>
</Tasks>
</file>

<file path=xl/documenttasks/documenttask2.xml><?xml version="1.0" encoding="utf-8"?>
<Tasks xmlns="http://schemas.microsoft.com/office/tasks/2019/documenttasks">
  <Task id="{7515FAAF-C03B-4F01-9C6D-E80A9D3DE7E2}">
    <Anchor>
      <Comment id="{747181C9-9CE5-493E-A780-CD596F051840}"/>
    </Anchor>
    <History>
      <Event time="2026-02-26T20:47:59.61" id="{EB31E247-A141-45CE-B69D-A5A99CEF6F8C}">
        <Attribution userId="S::ana.chambers@madmobile.com::ce43bb35-6af3-4fb7-ad02-7c53f24146fa" userName="Ana Chambers" userProvider="AD"/>
        <Anchor>
          <Comment id="{747181C9-9CE5-493E-A780-CD596F051840}"/>
        </Anchor>
        <Create/>
      </Event>
      <Event time="2026-02-26T20:47:59.61" id="{5D1B9D18-7B4D-4BEB-A4E5-3BF6720E28DA}">
        <Attribution userId="S::ana.chambers@madmobile.com::ce43bb35-6af3-4fb7-ad02-7c53f24146fa" userName="Ana Chambers" userProvider="AD"/>
        <Anchor>
          <Comment id="{747181C9-9CE5-493E-A780-CD596F051840}"/>
        </Anchor>
        <Assign userId="S::jorge.maltes@madmobile.com::83546e40-aaba-4264-826a-1d215fadb238" userName="Jorge Maltes" userProvider="AD"/>
      </Event>
      <Event time="2026-02-26T20:47:59.61" id="{3B11C168-941C-40A2-A986-511EC0778BB4}">
        <Attribution userId="S::ana.chambers@madmobile.com::ce43bb35-6af3-4fb7-ad02-7c53f24146fa" userName="Ana Chambers" userProvider="AD"/>
        <Anchor>
          <Comment id="{747181C9-9CE5-493E-A780-CD596F051840}"/>
        </Anchor>
        <SetTitle title="@Jorge Maltes do you have admin access to cancel this ?"/>
      </Event>
    </History>
  </Task>
</Tasks>
</file>

<file path=xl/documenttasks/documenttask3.xml><?xml version="1.0" encoding="utf-8"?>
<Tasks xmlns="http://schemas.microsoft.com/office/tasks/2019/documenttasks">
  <Task id="{6D0666B9-6556-4517-A708-62D9143C660B}">
    <Anchor>
      <Comment id="{32D5D6A3-049D-4EE6-9CDB-3EDFAB179B41}"/>
    </Anchor>
    <History>
      <Event time="2026-02-26T20:30:37.52" id="{97325AEA-D818-4EBD-9541-FAD7BAE5D578}">
        <Attribution userId="S::ana.chambers@madmobile.com::ce43bb35-6af3-4fb7-ad02-7c53f24146fa" userName="Ana Chambers" userProvider="AD"/>
        <Anchor>
          <Comment id="{32D5D6A3-049D-4EE6-9CDB-3EDFAB179B41}"/>
        </Anchor>
        <Create/>
      </Event>
      <Event time="2026-02-26T20:30:37.52" id="{12E6B862-087C-450E-9900-79F29FA63FF8}">
        <Attribution userId="S::ana.chambers@madmobile.com::ce43bb35-6af3-4fb7-ad02-7c53f24146fa" userName="Ana Chambers" userProvider="AD"/>
        <Anchor>
          <Comment id="{32D5D6A3-049D-4EE6-9CDB-3EDFAB179B41}"/>
        </Anchor>
        <Assign userId="S::ibennett@madmobile.com::0ef347d8-741c-4c9d-a014-e1be6f23ffab" userName="IBennett" userProvider="AD"/>
      </Event>
      <Event time="2026-02-26T20:30:37.52" id="{13B0F0E2-E0FC-418A-BA3A-507F5F443095}">
        <Attribution userId="S::ana.chambers@madmobile.com::ce43bb35-6af3-4fb7-ad02-7c53f24146fa" userName="Ana Chambers" userProvider="AD"/>
        <Anchor>
          <Comment id="{32D5D6A3-049D-4EE6-9CDB-3EDFAB179B41}"/>
        </Anchor>
        <SetTitle title="@IBennett - can you please take a look at this comment."/>
      </Event>
    </History>
  </Task>
  <Task id="{CBA438EA-9F6E-437E-9502-F3AC34ECBC59}">
    <Anchor>
      <Comment id="{56A00FF1-4DE2-4F98-B81E-B7C829F1EEB5}"/>
    </Anchor>
    <History>
      <Event time="2026-02-26T20:30:37.52" id="{97325AEA-D818-4EBD-9541-FAD7BAE5D578}">
        <Attribution userId="S::ana.chambers@madmobile.com::ce43bb35-6af3-4fb7-ad02-7c53f24146fa" userName="Ana Chambers" userProvider="AD"/>
        <Anchor>
          <Comment id="{56A00FF1-4DE2-4F98-B81E-B7C829F1EEB5}"/>
        </Anchor>
        <Create/>
      </Event>
      <Event time="2026-02-26T20:30:37.52" id="{12E6B862-087C-450E-9900-79F29FA63FF8}">
        <Attribution userId="S::ana.chambers@madmobile.com::ce43bb35-6af3-4fb7-ad02-7c53f24146fa" userName="Ana Chambers" userProvider="AD"/>
        <Anchor>
          <Comment id="{56A00FF1-4DE2-4F98-B81E-B7C829F1EEB5}"/>
        </Anchor>
        <Assign userId="S::ibennett@madmobile.com::0ef347d8-741c-4c9d-a014-e1be6f23ffab" userName="IBennett" userProvider="AD"/>
      </Event>
      <Event time="2026-02-26T20:30:37.52" id="{13B0F0E2-E0FC-418A-BA3A-507F5F443095}">
        <Attribution userId="S::ana.chambers@madmobile.com::ce43bb35-6af3-4fb7-ad02-7c53f24146fa" userName="Ana Chambers" userProvider="AD"/>
        <Anchor>
          <Comment id="{56A00FF1-4DE2-4F98-B81E-B7C829F1EEB5}"/>
        </Anchor>
        <SetTitle title="@IBennett - can you please take a look at this comment."/>
      </Event>
    </History>
  </Task>
</Task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DF573485-42A9-4ED0-ACC5-3C2B2FC2B91E}">
    <nsvFilter filterId="{C76FF786-C3F9-984D-8C4F-4AEDF1715B21}" ref="A1:M47" tableId="0">
      <columnFilter colId="6">
        <filter colId="6">
          <x:filters>
            <x:filter val="Amex - IT (Jorge)"/>
          </x:filters>
        </filter>
      </columnFilter>
      <sortRules>
        <sortRule colId="0">
          <sortCondition ref="A1:A47"/>
        </sortRule>
      </sortRules>
    </nsvFilter>
  </namedSheetView>
</namedSheetViews>
</file>

<file path=xl/persons/person.xml><?xml version="1.0" encoding="utf-8"?>
<personList xmlns="http://schemas.microsoft.com/office/spreadsheetml/2018/threadedcomments" xmlns:x="http://schemas.openxmlformats.org/spreadsheetml/2006/main">
  <person displayName="IBennett" id="{EE747962-95B2-4238-A2DF-ECF3AEE1CA93}" userId="ibennett@madmobile.com" providerId="PeoplePicker"/>
  <person displayName="Ana Chambers" id="{D260D6F7-252C-42E3-9FE6-ECACD05F3EAA}" userId="ana.chambers@madmobile.com" providerId="PeoplePicker"/>
  <person displayName="Jorge Maltes" id="{A921ED1E-7D90-4755-8AFC-9BE21876CE34}" userId="jorge.maltes@madmobile.com" providerId="PeoplePicker"/>
  <person displayName="IBennett" id="{EC8BA68C-2AAC-4205-A703-26917AB5B84E}" userId="S::ibennett@madmobile.com::0ef347d8-741c-4c9d-a014-e1be6f23ffab" providerId="AD"/>
  <person displayName="Ana Chambers" id="{8A090541-D6D1-4CF1-BBCA-73E3ADCA68CB}" userId="S::ana.chambers@madmobile.com::ce43bb35-6af3-4fb7-ad02-7c53f24146fa" providerId="AD"/>
  <person displayName="Jorge Maltes" id="{66F4435B-2A23-469F-8586-D0FFEA93851B}" userId="S::jorge.maltes@madmobile.com::83546e40-aaba-4264-826a-1d215fadb23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3" dT="2026-02-26T20:30:37.62" personId="{8A090541-D6D1-4CF1-BBCA-73E3ADCA68CB}" id="{BEA703D8-8FDE-4C28-83B6-4BEE4B28838A}">
    <text xml:space="preserve">@IBennett  - can you please take a look at this comment. </text>
    <mentions>
      <mention mentionpersonId="{EE747962-95B2-4238-A2DF-ECF3AEE1CA93}" mentionId="{60E332B5-EC3C-44FD-AAA8-8040F760FA8A}" startIndex="0" length="9"/>
    </mentions>
  </threadedComment>
  <threadedComment ref="D3" dT="2026-02-26T20:45:58.66" personId="{EC8BA68C-2AAC-4205-A703-26917AB5B84E}" id="{C6401D47-F50F-4BE0-8E4E-0CAFF1919AEA}" parentId="{BEA703D8-8FDE-4C28-83B6-4BEE4B28838A}">
    <text>@Ana Chambers I removed everyone none essential to get us to the 5 seat minimum, so $125 is the correct projection going forward. The usage is tied to line 6, and has been less than previous months as we have not been leveraging it. I will raise it to $75 to normalize it.</text>
    <mentions>
      <mention mentionpersonId="{D260D6F7-252C-42E3-9FE6-ECACD05F3EAA}" mentionId="{87A5138F-D03E-42B3-8738-C506592E27A7}" startIndex="0" length="13"/>
    </mentions>
  </threadedComment>
  <threadedComment ref="D3" dT="2026-02-26T20:50:11.42" personId="{8A090541-D6D1-4CF1-BBCA-73E3ADCA68CB}" id="{A3846E8D-49BF-4BAC-9C65-0B3C6729B017}" parentId="{BEA703D8-8FDE-4C28-83B6-4BEE4B28838A}">
    <text xml:space="preserve">That makes more sense. Thank you! </text>
  </threadedComment>
</ThreadedComments>
</file>

<file path=xl/threadedComments/threadedComment2.xml><?xml version="1.0" encoding="utf-8"?>
<ThreadedComments xmlns="http://schemas.microsoft.com/office/spreadsheetml/2018/threadedcomments" xmlns:x="http://schemas.openxmlformats.org/spreadsheetml/2006/main">
  <threadedComment ref="C12" dT="2026-02-26T20:47:59.79" personId="{8A090541-D6D1-4CF1-BBCA-73E3ADCA68CB}" id="{747181C9-9CE5-493E-A780-CD596F051840}">
    <text>@Jorge Maltes do you have admin access to cancel this ?</text>
    <mentions>
      <mention mentionpersonId="{A921ED1E-7D90-4755-8AFC-9BE21876CE34}" mentionId="{CD0E2C97-E7A4-4555-B7F3-F3FD651B3549}" startIndex="0" length="13"/>
    </mentions>
  </threadedComment>
  <threadedComment ref="C12" dT="2026-03-02T17:04:23.25" personId="{66F4435B-2A23-469F-8586-D0FFEA93851B}" id="{99382B63-2D52-46B1-BCAA-CDCE09444D14}" parentId="{747181C9-9CE5-493E-A780-CD596F051840}">
    <text xml:space="preserve">checking
</text>
  </threadedComment>
  <threadedComment ref="C12" dT="2026-03-02T19:28:15.69" personId="{8A090541-D6D1-4CF1-BBCA-73E3ADCA68CB}" id="{56675679-68C8-4799-821E-37CF08651D9D}" parentId="{747181C9-9CE5-493E-A780-CD596F051840}">
    <text xml:space="preserve">thanks, please keep me posted. @Jorge Maltes </text>
    <mentions>
      <mention mentionpersonId="{A921ED1E-7D90-4755-8AFC-9BE21876CE34}" mentionId="{44C2152D-C0C7-410A-94DB-9ACAE63E59AC}" startIndex="31" length="13"/>
    </mentions>
  </threadedComment>
  <threadedComment ref="C15" dT="2026-03-05T19:10:14.61" personId="{66F4435B-2A23-469F-8586-D0FFEA93851B}" id="{801BF8F2-91B3-4096-ACCE-5E77EEA9651D}">
    <text>@Ana Chambers this is now Kaseya Saas Backup - it may be coming in as Kaseya or mixed in with Ed's Kaseya Datto items</text>
    <mentions>
      <mention mentionpersonId="{D260D6F7-252C-42E3-9FE6-ECACD05F3EAA}" mentionId="{24A1B66D-06E3-4682-8E9D-9F0544ACBF32}" startIndex="0" length="13"/>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C2" dT="2026-02-26T20:30:37.62" personId="{8A090541-D6D1-4CF1-BBCA-73E3ADCA68CB}" id="{32D5D6A3-049D-4EE6-9CDB-3EDFAB179B41}">
    <text xml:space="preserve">@IBennett  - can you please take a look at this comment. </text>
    <mentions>
      <mention mentionpersonId="{EE747962-95B2-4238-A2DF-ECF3AEE1CA93}" mentionId="{64A99100-B9C6-45F9-8514-F3D3198D6145}" startIndex="0" length="9"/>
    </mentions>
  </threadedComment>
  <threadedComment ref="C2" dT="2026-02-26T20:45:58.66" personId="{EC8BA68C-2AAC-4205-A703-26917AB5B84E}" id="{EA8AB71F-079C-4046-A22C-9B77E7A6FC93}" parentId="{32D5D6A3-049D-4EE6-9CDB-3EDFAB179B41}">
    <text>@Ana Chambers I removed everyone none essential to get us to the 5 seat minimum, so $125 is the correct projection going forward. The usage is tied to line 6, and has been less than previous months as we have not been leveraging it. I will raise it to $75 to normalize it.</text>
    <mentions>
      <mention mentionpersonId="{D260D6F7-252C-42E3-9FE6-ECACD05F3EAA}" mentionId="{82F015B1-FC9E-46A5-94B4-2B0680EF8AB2}" startIndex="0" length="13"/>
    </mentions>
  </threadedComment>
  <threadedComment ref="C2" dT="2026-02-26T20:50:11.42" personId="{8A090541-D6D1-4CF1-BBCA-73E3ADCA68CB}" id="{D141C5ED-98D3-482D-B80D-F1A4E9C073F3}" parentId="{32D5D6A3-049D-4EE6-9CDB-3EDFAB179B41}">
    <text xml:space="preserve">That makes more sense. Thank you! </text>
  </threadedComment>
  <threadedComment ref="C3" dT="2026-02-26T20:30:37.62" personId="{8A090541-D6D1-4CF1-BBCA-73E3ADCA68CB}" id="{56A00FF1-4DE2-4F98-B81E-B7C829F1EEB5}">
    <text xml:space="preserve">@IBennett  - can you please take a look at this comment. </text>
    <mentions>
      <mention mentionpersonId="{EE747962-95B2-4238-A2DF-ECF3AEE1CA93}" mentionId="{99B43E72-4321-46B0-9195-A661576E9822}" startIndex="0" length="9"/>
    </mentions>
  </threadedComment>
  <threadedComment ref="C3" dT="2026-02-26T20:45:58.66" personId="{EC8BA68C-2AAC-4205-A703-26917AB5B84E}" id="{69AB8036-A721-49EE-8E2B-3B98A2493340}" parentId="{56A00FF1-4DE2-4F98-B81E-B7C829F1EEB5}">
    <text>@Ana Chambers I removed everyone none essential to get us to the 5 seat minimum, so $125 is the correct projection going forward. The usage is tied to line 6, and has been less than previous months as we have not been leveraging it. I will raise it to $75 to normalize it.</text>
    <mentions>
      <mention mentionpersonId="{D260D6F7-252C-42E3-9FE6-ECACD05F3EAA}" mentionId="{02CC7CBA-2013-44F9-8D9D-A065D91F5469}" startIndex="0" length="13"/>
    </mentions>
  </threadedComment>
  <threadedComment ref="C3" dT="2026-02-26T20:50:11.42" personId="{8A090541-D6D1-4CF1-BBCA-73E3ADCA68CB}" id="{DCF11226-28B0-47EB-A7C4-2B1AC893ECE3}" parentId="{56A00FF1-4DE2-4F98-B81E-B7C829F1EEB5}">
    <text xml:space="preserve">That makes more sense. Thank you!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5" Type="http://schemas.microsoft.com/office/2019/04/relationships/namedSheetView" Target="../namedSheetViews/namedSheetView1.x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ww.chromatic.com/" TargetMode="External"/><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F786-C3F9-984D-8C4F-4AEDF1715B21}">
  <dimension ref="A1:O88"/>
  <sheetViews>
    <sheetView tabSelected="1" zoomScale="120" zoomScaleNormal="120" workbookViewId="0">
      <pane ySplit="1" topLeftCell="A2" activePane="bottomLeft" state="frozen"/>
      <selection pane="bottomLeft" activeCell="A36" sqref="A36:XFD36"/>
    </sheetView>
  </sheetViews>
  <sheetFormatPr defaultColWidth="11.42578125" defaultRowHeight="15" customHeight="1" zeroHeight="1"/>
  <cols>
    <col min="1" max="1" width="44.140625" customWidth="1"/>
    <col min="2" max="2" width="16.42578125" customWidth="1"/>
    <col min="3" max="3" width="20.7109375" customWidth="1"/>
    <col min="4" max="4" width="71.7109375" customWidth="1"/>
    <col min="5" max="5" width="27.42578125" customWidth="1"/>
    <col min="6" max="6" width="30.140625" customWidth="1"/>
    <col min="7" max="7" width="16.7109375" customWidth="1"/>
    <col min="8" max="8" width="19.7109375" style="24" customWidth="1"/>
    <col min="9" max="9" width="22.140625" customWidth="1"/>
    <col min="10" max="10" width="23.85546875" style="24" customWidth="1"/>
    <col min="11" max="11" width="16.85546875" customWidth="1"/>
    <col min="12" max="12" width="17.140625" customWidth="1"/>
    <col min="13" max="13" width="22" customWidth="1"/>
    <col min="14" max="14" width="32" style="25" customWidth="1"/>
    <col min="15" max="15" width="12.85546875" customWidth="1"/>
  </cols>
  <sheetData>
    <row r="1" spans="1:15" s="2" customFormat="1">
      <c r="A1" s="2" t="s">
        <v>0</v>
      </c>
      <c r="B1" s="2" t="s">
        <v>1</v>
      </c>
      <c r="C1" s="2" t="s">
        <v>2</v>
      </c>
      <c r="D1" s="2" t="s">
        <v>3</v>
      </c>
      <c r="E1" s="2" t="s">
        <v>4</v>
      </c>
      <c r="F1" s="2" t="s">
        <v>5</v>
      </c>
      <c r="G1" s="2" t="s">
        <v>6</v>
      </c>
      <c r="H1" s="44" t="s">
        <v>7</v>
      </c>
      <c r="I1" s="2" t="s">
        <v>8</v>
      </c>
      <c r="J1" s="44" t="s">
        <v>9</v>
      </c>
      <c r="K1" s="2" t="s">
        <v>10</v>
      </c>
      <c r="L1" s="2" t="s">
        <v>11</v>
      </c>
      <c r="M1" s="2" t="s">
        <v>12</v>
      </c>
      <c r="N1" s="43" t="s">
        <v>13</v>
      </c>
      <c r="O1" s="2" t="s">
        <v>14</v>
      </c>
    </row>
    <row r="2" spans="1:15" ht="215.25" customHeight="1">
      <c r="A2" s="51" t="s">
        <v>15</v>
      </c>
      <c r="B2" s="38" t="s">
        <v>16</v>
      </c>
      <c r="C2" s="38" t="s">
        <v>17</v>
      </c>
      <c r="D2" s="35" t="s">
        <v>18</v>
      </c>
      <c r="E2" s="38" t="s">
        <v>19</v>
      </c>
      <c r="F2" s="38"/>
      <c r="G2" s="49" t="s">
        <v>20</v>
      </c>
      <c r="I2" t="s">
        <v>21</v>
      </c>
      <c r="J2" s="24">
        <v>1732.62</v>
      </c>
    </row>
    <row r="3" spans="1:15" ht="138" customHeight="1">
      <c r="A3" s="51" t="s">
        <v>22</v>
      </c>
      <c r="B3" s="38" t="s">
        <v>23</v>
      </c>
      <c r="C3" s="55" t="s">
        <v>24</v>
      </c>
      <c r="D3" s="35" t="s">
        <v>25</v>
      </c>
      <c r="E3" s="38" t="s">
        <v>26</v>
      </c>
      <c r="F3" s="38" t="s">
        <v>27</v>
      </c>
      <c r="G3" t="s">
        <v>28</v>
      </c>
      <c r="H3" s="24">
        <v>4354.4799999999996</v>
      </c>
      <c r="I3" t="s">
        <v>29</v>
      </c>
      <c r="J3" s="24">
        <v>125</v>
      </c>
      <c r="K3" s="1">
        <v>45566</v>
      </c>
      <c r="L3" t="s">
        <v>30</v>
      </c>
    </row>
    <row r="4" spans="1:15" ht="84.75" customHeight="1">
      <c r="A4" s="47" t="s">
        <v>31</v>
      </c>
      <c r="B4" s="38" t="s">
        <v>32</v>
      </c>
      <c r="C4" s="55" t="s">
        <v>33</v>
      </c>
      <c r="D4" s="36" t="s">
        <v>34</v>
      </c>
      <c r="E4" s="38" t="s">
        <v>35</v>
      </c>
      <c r="F4" s="38" t="s">
        <v>36</v>
      </c>
      <c r="G4" t="s">
        <v>28</v>
      </c>
    </row>
    <row r="5" spans="1:15" ht="148.5" customHeight="1">
      <c r="A5" s="47" t="s">
        <v>37</v>
      </c>
      <c r="B5" s="38" t="s">
        <v>23</v>
      </c>
      <c r="C5" s="38"/>
      <c r="D5" s="35" t="s">
        <v>38</v>
      </c>
      <c r="E5" s="38" t="s">
        <v>26</v>
      </c>
      <c r="F5" s="38" t="s">
        <v>27</v>
      </c>
      <c r="G5" s="49" t="s">
        <v>39</v>
      </c>
      <c r="I5" t="s">
        <v>40</v>
      </c>
      <c r="J5" s="24">
        <v>38160</v>
      </c>
      <c r="K5" s="1">
        <v>46089</v>
      </c>
      <c r="L5" s="1">
        <v>46454</v>
      </c>
    </row>
    <row r="6" spans="1:15" ht="56.25" customHeight="1">
      <c r="A6" s="47" t="s">
        <v>41</v>
      </c>
      <c r="B6" s="38" t="s">
        <v>16</v>
      </c>
      <c r="C6" s="38"/>
      <c r="D6" s="35" t="s">
        <v>42</v>
      </c>
      <c r="E6" s="38" t="s">
        <v>43</v>
      </c>
      <c r="F6" s="38" t="s">
        <v>44</v>
      </c>
      <c r="G6" s="49" t="s">
        <v>20</v>
      </c>
      <c r="I6" t="s">
        <v>45</v>
      </c>
      <c r="J6" s="24">
        <v>21358.55</v>
      </c>
      <c r="K6" s="13">
        <v>46079</v>
      </c>
      <c r="L6" s="13">
        <v>46444</v>
      </c>
    </row>
    <row r="7" spans="1:15" ht="142.5" customHeight="1">
      <c r="A7" s="47" t="s">
        <v>46</v>
      </c>
      <c r="B7" s="38" t="s">
        <v>47</v>
      </c>
      <c r="C7" s="55" t="s">
        <v>48</v>
      </c>
      <c r="D7" s="35" t="s">
        <v>49</v>
      </c>
      <c r="E7" s="38"/>
      <c r="F7" s="38" t="s">
        <v>50</v>
      </c>
      <c r="G7" t="s">
        <v>28</v>
      </c>
    </row>
    <row r="8" spans="1:15" ht="105.75" customHeight="1">
      <c r="A8" s="47" t="s">
        <v>51</v>
      </c>
      <c r="B8" s="38" t="s">
        <v>23</v>
      </c>
      <c r="C8" s="55" t="s">
        <v>24</v>
      </c>
      <c r="D8" s="35" t="s">
        <v>52</v>
      </c>
      <c r="E8" s="38" t="s">
        <v>53</v>
      </c>
      <c r="F8" s="38" t="s">
        <v>50</v>
      </c>
      <c r="G8" t="s">
        <v>28</v>
      </c>
      <c r="I8" t="s">
        <v>29</v>
      </c>
      <c r="J8" s="24">
        <v>99</v>
      </c>
    </row>
    <row r="9" spans="1:15" ht="105">
      <c r="A9" s="47" t="s">
        <v>54</v>
      </c>
      <c r="B9" s="38" t="s">
        <v>55</v>
      </c>
      <c r="C9" s="55" t="s">
        <v>33</v>
      </c>
      <c r="D9" s="35" t="s">
        <v>56</v>
      </c>
      <c r="E9" s="38" t="s">
        <v>57</v>
      </c>
      <c r="F9" s="38" t="s">
        <v>58</v>
      </c>
      <c r="G9" t="s">
        <v>28</v>
      </c>
      <c r="I9" t="s">
        <v>59</v>
      </c>
      <c r="J9" s="24" t="s">
        <v>60</v>
      </c>
    </row>
    <row r="10" spans="1:15" ht="164.25" customHeight="1">
      <c r="A10" s="51" t="s">
        <v>61</v>
      </c>
      <c r="B10" s="38" t="s">
        <v>62</v>
      </c>
      <c r="C10" s="38" t="s">
        <v>63</v>
      </c>
      <c r="D10" s="35" t="s">
        <v>64</v>
      </c>
      <c r="E10" s="38"/>
      <c r="F10" s="38" t="s">
        <v>50</v>
      </c>
      <c r="G10" t="s">
        <v>28</v>
      </c>
      <c r="I10" t="s">
        <v>21</v>
      </c>
      <c r="J10" s="24">
        <v>798.11</v>
      </c>
    </row>
    <row r="11" spans="1:15" ht="60">
      <c r="A11" s="38" t="s">
        <v>65</v>
      </c>
      <c r="B11" s="38" t="s">
        <v>66</v>
      </c>
      <c r="C11" s="38"/>
      <c r="D11" s="35" t="s">
        <v>67</v>
      </c>
      <c r="E11" s="38" t="s">
        <v>68</v>
      </c>
      <c r="F11" s="38"/>
    </row>
    <row r="12" spans="1:15" ht="75">
      <c r="A12" s="47" t="s">
        <v>69</v>
      </c>
      <c r="B12" s="38" t="s">
        <v>70</v>
      </c>
      <c r="C12" s="38"/>
      <c r="D12" s="35" t="s">
        <v>71</v>
      </c>
      <c r="E12" s="38" t="s">
        <v>72</v>
      </c>
      <c r="F12" s="38" t="s">
        <v>26</v>
      </c>
      <c r="G12" s="49" t="s">
        <v>20</v>
      </c>
      <c r="I12" t="s">
        <v>45</v>
      </c>
      <c r="J12" s="24">
        <v>9930</v>
      </c>
      <c r="K12" s="1">
        <v>46092</v>
      </c>
      <c r="L12" s="1">
        <v>46456</v>
      </c>
    </row>
    <row r="13" spans="1:15" ht="60">
      <c r="A13" s="52" t="s">
        <v>73</v>
      </c>
      <c r="B13" s="38" t="s">
        <v>74</v>
      </c>
      <c r="C13" s="38" t="s">
        <v>24</v>
      </c>
      <c r="D13" s="35" t="s">
        <v>75</v>
      </c>
      <c r="E13" s="38"/>
      <c r="F13" s="38" t="s">
        <v>50</v>
      </c>
      <c r="G13" t="s">
        <v>28</v>
      </c>
      <c r="I13" t="s">
        <v>29</v>
      </c>
      <c r="J13" s="24">
        <v>252.4</v>
      </c>
    </row>
    <row r="14" spans="1:15" ht="75">
      <c r="A14" s="52" t="s">
        <v>76</v>
      </c>
      <c r="B14" s="38" t="s">
        <v>77</v>
      </c>
      <c r="C14" s="38" t="s">
        <v>24</v>
      </c>
      <c r="D14" s="35" t="s">
        <v>78</v>
      </c>
      <c r="E14" s="38"/>
      <c r="F14" s="38" t="s">
        <v>79</v>
      </c>
      <c r="G14" t="s">
        <v>28</v>
      </c>
      <c r="I14" t="s">
        <v>21</v>
      </c>
      <c r="J14" s="24">
        <v>668.02</v>
      </c>
    </row>
    <row r="15" spans="1:15" ht="75">
      <c r="A15" s="52" t="s">
        <v>80</v>
      </c>
      <c r="B15" s="38" t="s">
        <v>77</v>
      </c>
      <c r="C15" s="38" t="s">
        <v>24</v>
      </c>
      <c r="D15" s="35" t="s">
        <v>81</v>
      </c>
      <c r="E15" s="38"/>
      <c r="F15" s="38" t="s">
        <v>79</v>
      </c>
      <c r="G15" t="s">
        <v>28</v>
      </c>
      <c r="I15" t="s">
        <v>82</v>
      </c>
      <c r="J15" s="24">
        <v>418.4</v>
      </c>
    </row>
    <row r="16" spans="1:15" ht="45">
      <c r="A16" s="52" t="s">
        <v>83</v>
      </c>
      <c r="B16" s="38" t="s">
        <v>84</v>
      </c>
      <c r="C16" s="38"/>
      <c r="D16" s="35" t="s">
        <v>85</v>
      </c>
      <c r="E16" s="38"/>
      <c r="F16" s="38"/>
      <c r="G16" t="s">
        <v>86</v>
      </c>
      <c r="I16" t="s">
        <v>29</v>
      </c>
      <c r="J16" s="24">
        <v>129.9</v>
      </c>
    </row>
    <row r="17" spans="1:15" ht="219" customHeight="1">
      <c r="A17" s="38" t="s">
        <v>87</v>
      </c>
      <c r="B17" s="38" t="s">
        <v>88</v>
      </c>
      <c r="C17" s="38" t="s">
        <v>33</v>
      </c>
      <c r="D17" s="35" t="s">
        <v>89</v>
      </c>
      <c r="E17" s="38" t="s">
        <v>90</v>
      </c>
      <c r="F17" s="38" t="s">
        <v>26</v>
      </c>
      <c r="G17" s="49" t="s">
        <v>20</v>
      </c>
      <c r="I17" t="s">
        <v>91</v>
      </c>
      <c r="J17" s="24" t="s">
        <v>92</v>
      </c>
      <c r="N17" s="26"/>
      <c r="O17" s="5"/>
    </row>
    <row r="18" spans="1:15" ht="234" customHeight="1">
      <c r="A18" s="38" t="s">
        <v>93</v>
      </c>
      <c r="B18" s="38" t="s">
        <v>94</v>
      </c>
      <c r="C18" s="38" t="s">
        <v>33</v>
      </c>
      <c r="D18" s="35" t="s">
        <v>95</v>
      </c>
      <c r="E18" s="38" t="s">
        <v>36</v>
      </c>
      <c r="F18" s="38" t="s">
        <v>96</v>
      </c>
      <c r="G18" s="49" t="s">
        <v>20</v>
      </c>
      <c r="I18" t="s">
        <v>29</v>
      </c>
      <c r="J18" s="24">
        <v>1105.1400000000001</v>
      </c>
    </row>
    <row r="19" spans="1:15">
      <c r="A19" t="s">
        <v>97</v>
      </c>
      <c r="B19" t="s">
        <v>98</v>
      </c>
      <c r="D19" s="8"/>
      <c r="E19" t="s">
        <v>99</v>
      </c>
      <c r="F19" t="s">
        <v>100</v>
      </c>
      <c r="G19" t="s">
        <v>101</v>
      </c>
      <c r="H19" s="24">
        <v>11911.76</v>
      </c>
      <c r="I19" t="s">
        <v>40</v>
      </c>
      <c r="J19" s="24" t="s">
        <v>102</v>
      </c>
      <c r="K19" s="1">
        <v>45825</v>
      </c>
      <c r="L19" s="1">
        <v>46190</v>
      </c>
      <c r="O19" t="s">
        <v>103</v>
      </c>
    </row>
    <row r="20" spans="1:15" ht="110.25" customHeight="1">
      <c r="A20" s="51" t="s">
        <v>104</v>
      </c>
      <c r="B20" s="38" t="s">
        <v>105</v>
      </c>
      <c r="C20" s="38" t="s">
        <v>106</v>
      </c>
      <c r="D20" s="35" t="s">
        <v>107</v>
      </c>
      <c r="E20" s="38" t="s">
        <v>108</v>
      </c>
      <c r="F20" s="38"/>
      <c r="G20" t="s">
        <v>109</v>
      </c>
      <c r="I20" t="s">
        <v>29</v>
      </c>
      <c r="J20" s="24">
        <v>294</v>
      </c>
    </row>
    <row r="21" spans="1:15" ht="188.25" customHeight="1">
      <c r="A21" s="47" t="s">
        <v>110</v>
      </c>
      <c r="B21" s="38" t="s">
        <v>111</v>
      </c>
      <c r="C21" s="38"/>
      <c r="D21" s="35" t="s">
        <v>112</v>
      </c>
      <c r="E21" s="38" t="s">
        <v>50</v>
      </c>
      <c r="F21" s="38"/>
      <c r="G21" t="s">
        <v>28</v>
      </c>
    </row>
    <row r="22" spans="1:15">
      <c r="A22" t="s">
        <v>113</v>
      </c>
      <c r="B22" t="s">
        <v>114</v>
      </c>
      <c r="D22" s="8"/>
      <c r="E22" t="s">
        <v>115</v>
      </c>
      <c r="F22" t="s">
        <v>36</v>
      </c>
      <c r="G22" t="s">
        <v>116</v>
      </c>
      <c r="I22" t="s">
        <v>117</v>
      </c>
      <c r="K22" s="1">
        <v>45833</v>
      </c>
      <c r="L22" s="1">
        <v>46259</v>
      </c>
      <c r="O22" t="s">
        <v>118</v>
      </c>
    </row>
    <row r="23" spans="1:15" ht="231" customHeight="1">
      <c r="A23" s="47" t="s">
        <v>119</v>
      </c>
      <c r="B23" s="38" t="s">
        <v>114</v>
      </c>
      <c r="C23" s="55" t="s">
        <v>120</v>
      </c>
      <c r="D23" s="35" t="s">
        <v>121</v>
      </c>
      <c r="E23" s="38" t="s">
        <v>122</v>
      </c>
      <c r="F23" s="38" t="s">
        <v>53</v>
      </c>
      <c r="G23" t="s">
        <v>28</v>
      </c>
      <c r="I23" t="s">
        <v>29</v>
      </c>
      <c r="J23" s="24" t="s">
        <v>123</v>
      </c>
    </row>
    <row r="24" spans="1:15" ht="144" customHeight="1">
      <c r="A24" s="51" t="s">
        <v>124</v>
      </c>
      <c r="B24" s="38" t="s">
        <v>23</v>
      </c>
      <c r="C24" s="55" t="s">
        <v>125</v>
      </c>
      <c r="D24" s="35" t="s">
        <v>126</v>
      </c>
      <c r="E24" s="38" t="s">
        <v>26</v>
      </c>
      <c r="F24" s="38" t="s">
        <v>27</v>
      </c>
      <c r="G24" t="s">
        <v>28</v>
      </c>
      <c r="I24" t="s">
        <v>29</v>
      </c>
      <c r="J24" s="24">
        <v>75</v>
      </c>
    </row>
    <row r="25" spans="1:15" ht="98.25" customHeight="1">
      <c r="A25" s="46" t="s">
        <v>127</v>
      </c>
      <c r="B25" s="38" t="s">
        <v>111</v>
      </c>
      <c r="C25" s="38" t="s">
        <v>128</v>
      </c>
      <c r="D25" s="35" t="s">
        <v>129</v>
      </c>
      <c r="E25" s="38" t="s">
        <v>130</v>
      </c>
      <c r="F25" s="38" t="s">
        <v>53</v>
      </c>
      <c r="G25" t="s">
        <v>28</v>
      </c>
      <c r="I25" t="s">
        <v>29</v>
      </c>
      <c r="J25" s="24">
        <v>675</v>
      </c>
      <c r="N25" s="26"/>
      <c r="O25" s="5"/>
    </row>
    <row r="26" spans="1:15" ht="153" customHeight="1">
      <c r="A26" s="45" t="s">
        <v>131</v>
      </c>
      <c r="B26" s="38" t="s">
        <v>32</v>
      </c>
      <c r="C26" s="38" t="s">
        <v>132</v>
      </c>
      <c r="D26" s="35" t="s">
        <v>133</v>
      </c>
      <c r="E26" s="38" t="s">
        <v>134</v>
      </c>
      <c r="F26" s="38" t="s">
        <v>26</v>
      </c>
      <c r="G26" t="s">
        <v>28</v>
      </c>
      <c r="I26" t="s">
        <v>29</v>
      </c>
      <c r="J26" s="24">
        <v>2562</v>
      </c>
      <c r="O26" t="s">
        <v>103</v>
      </c>
    </row>
    <row r="27" spans="1:15" ht="45">
      <c r="A27" t="s">
        <v>135</v>
      </c>
      <c r="B27" t="s">
        <v>98</v>
      </c>
      <c r="D27" s="8" t="s">
        <v>136</v>
      </c>
      <c r="G27" t="s">
        <v>116</v>
      </c>
      <c r="H27" s="24">
        <v>28030.95</v>
      </c>
      <c r="I27" t="s">
        <v>40</v>
      </c>
      <c r="J27" s="24" t="s">
        <v>102</v>
      </c>
      <c r="K27" s="1">
        <v>45790</v>
      </c>
      <c r="L27" s="1">
        <v>46155</v>
      </c>
      <c r="O27" t="s">
        <v>118</v>
      </c>
    </row>
    <row r="28" spans="1:15" ht="30">
      <c r="A28" t="s">
        <v>137</v>
      </c>
      <c r="B28" t="s">
        <v>138</v>
      </c>
      <c r="D28" s="8" t="s">
        <v>139</v>
      </c>
      <c r="G28" t="s">
        <v>116</v>
      </c>
      <c r="H28" s="24">
        <v>12772.41</v>
      </c>
      <c r="I28" t="s">
        <v>40</v>
      </c>
      <c r="J28" s="24" t="s">
        <v>102</v>
      </c>
      <c r="K28" s="1">
        <v>45913</v>
      </c>
      <c r="L28" s="1">
        <v>46245</v>
      </c>
    </row>
    <row r="29" spans="1:15" ht="45">
      <c r="A29" t="s">
        <v>140</v>
      </c>
      <c r="B29" t="s">
        <v>141</v>
      </c>
      <c r="D29" s="8" t="s">
        <v>142</v>
      </c>
      <c r="G29" t="s">
        <v>116</v>
      </c>
      <c r="H29" s="24">
        <v>120000</v>
      </c>
      <c r="I29" t="s">
        <v>40</v>
      </c>
      <c r="J29" s="24" t="s">
        <v>102</v>
      </c>
      <c r="K29" s="1">
        <v>45748</v>
      </c>
      <c r="L29" s="1">
        <v>46113</v>
      </c>
    </row>
    <row r="30" spans="1:15">
      <c r="A30" t="s">
        <v>143</v>
      </c>
      <c r="B30" t="s">
        <v>138</v>
      </c>
      <c r="D30" s="8" t="s">
        <v>144</v>
      </c>
      <c r="G30" t="s">
        <v>116</v>
      </c>
      <c r="H30" s="24">
        <v>34586.83</v>
      </c>
      <c r="I30" t="s">
        <v>40</v>
      </c>
      <c r="J30" s="24" t="s">
        <v>102</v>
      </c>
      <c r="K30" s="1">
        <v>45837</v>
      </c>
      <c r="L30" s="1">
        <v>46203</v>
      </c>
    </row>
    <row r="31" spans="1:15" ht="75">
      <c r="A31" s="47" t="s">
        <v>145</v>
      </c>
      <c r="B31" s="38" t="s">
        <v>16</v>
      </c>
      <c r="C31" s="38"/>
      <c r="D31" s="35" t="s">
        <v>146</v>
      </c>
      <c r="E31" s="38" t="s">
        <v>147</v>
      </c>
      <c r="F31" s="38" t="s">
        <v>44</v>
      </c>
      <c r="G31" t="s">
        <v>28</v>
      </c>
    </row>
    <row r="32" spans="1:15">
      <c r="A32" t="s">
        <v>148</v>
      </c>
      <c r="B32" t="s">
        <v>149</v>
      </c>
      <c r="D32" s="27" t="s">
        <v>150</v>
      </c>
      <c r="G32" t="s">
        <v>116</v>
      </c>
      <c r="H32" s="24">
        <v>150000</v>
      </c>
      <c r="I32" t="s">
        <v>151</v>
      </c>
      <c r="J32" s="24">
        <v>18750</v>
      </c>
      <c r="K32" s="1">
        <v>45502</v>
      </c>
      <c r="L32" s="1">
        <v>46232</v>
      </c>
      <c r="O32" t="s">
        <v>118</v>
      </c>
    </row>
    <row r="33" spans="1:15" ht="60">
      <c r="A33" t="s">
        <v>152</v>
      </c>
      <c r="B33" t="s">
        <v>98</v>
      </c>
      <c r="D33" s="27" t="s">
        <v>153</v>
      </c>
      <c r="E33" t="s">
        <v>154</v>
      </c>
      <c r="F33" t="s">
        <v>100</v>
      </c>
      <c r="G33" t="s">
        <v>116</v>
      </c>
      <c r="H33" s="24">
        <v>38499.75</v>
      </c>
      <c r="I33" t="s">
        <v>29</v>
      </c>
      <c r="J33" s="24">
        <v>3208.31</v>
      </c>
      <c r="K33" s="1">
        <v>45837</v>
      </c>
      <c r="L33" s="1">
        <v>46202</v>
      </c>
    </row>
    <row r="34" spans="1:15" ht="45">
      <c r="A34" s="47" t="s">
        <v>155</v>
      </c>
      <c r="B34" s="38" t="s">
        <v>156</v>
      </c>
      <c r="C34" s="38"/>
      <c r="D34" s="35" t="s">
        <v>157</v>
      </c>
      <c r="E34" s="38"/>
      <c r="F34" s="38" t="s">
        <v>50</v>
      </c>
      <c r="G34" t="s">
        <v>28</v>
      </c>
      <c r="I34" t="s">
        <v>29</v>
      </c>
      <c r="J34" s="24">
        <v>55</v>
      </c>
    </row>
    <row r="35" spans="1:15">
      <c r="A35" s="38" t="s">
        <v>158</v>
      </c>
      <c r="B35" s="38" t="s">
        <v>159</v>
      </c>
      <c r="C35" s="38"/>
      <c r="D35" s="38" t="s">
        <v>160</v>
      </c>
      <c r="E35" s="38"/>
      <c r="F35" s="38" t="s">
        <v>161</v>
      </c>
      <c r="G35" t="s">
        <v>28</v>
      </c>
    </row>
    <row r="36" spans="1:15" ht="108" customHeight="1">
      <c r="A36" s="47" t="s">
        <v>162</v>
      </c>
      <c r="B36" s="38" t="s">
        <v>32</v>
      </c>
      <c r="C36" s="38"/>
      <c r="D36" s="35" t="s">
        <v>163</v>
      </c>
      <c r="E36" s="38" t="s">
        <v>164</v>
      </c>
      <c r="F36" s="38" t="s">
        <v>36</v>
      </c>
      <c r="G36" s="49" t="s">
        <v>20</v>
      </c>
    </row>
    <row r="37" spans="1:15" ht="30">
      <c r="A37" s="47" t="s">
        <v>165</v>
      </c>
      <c r="B37" s="38" t="s">
        <v>32</v>
      </c>
      <c r="C37" s="38"/>
      <c r="D37" s="35"/>
      <c r="E37" s="38" t="s">
        <v>164</v>
      </c>
      <c r="F37" s="38" t="s">
        <v>36</v>
      </c>
      <c r="G37" s="49" t="s">
        <v>20</v>
      </c>
    </row>
    <row r="38" spans="1:15">
      <c r="A38" t="s">
        <v>166</v>
      </c>
      <c r="B38" t="s">
        <v>114</v>
      </c>
      <c r="D38" s="5"/>
      <c r="G38" t="s">
        <v>116</v>
      </c>
      <c r="H38" s="24">
        <v>120000</v>
      </c>
      <c r="I38" t="s">
        <v>167</v>
      </c>
      <c r="J38" s="24" t="s">
        <v>102</v>
      </c>
      <c r="K38" s="1">
        <v>45748</v>
      </c>
      <c r="L38" s="1">
        <v>46113</v>
      </c>
    </row>
    <row r="39" spans="1:15">
      <c r="A39" s="51" t="s">
        <v>168</v>
      </c>
      <c r="B39" t="s">
        <v>98</v>
      </c>
      <c r="D39" s="8" t="s">
        <v>169</v>
      </c>
      <c r="E39" t="s">
        <v>170</v>
      </c>
      <c r="F39" t="s">
        <v>44</v>
      </c>
      <c r="G39" t="s">
        <v>116</v>
      </c>
      <c r="H39" s="24">
        <v>83333.37</v>
      </c>
      <c r="I39" t="s">
        <v>29</v>
      </c>
      <c r="J39" s="24">
        <v>3333.37</v>
      </c>
      <c r="K39" s="1">
        <v>45965</v>
      </c>
      <c r="L39" s="1">
        <v>46725</v>
      </c>
    </row>
    <row r="40" spans="1:15" ht="138.75" customHeight="1">
      <c r="A40" s="47" t="s">
        <v>171</v>
      </c>
      <c r="B40" s="38" t="s">
        <v>62</v>
      </c>
      <c r="C40" s="38" t="s">
        <v>128</v>
      </c>
      <c r="D40" s="35" t="s">
        <v>172</v>
      </c>
      <c r="E40" s="38"/>
      <c r="F40" s="38" t="s">
        <v>50</v>
      </c>
      <c r="G40" t="s">
        <v>28</v>
      </c>
      <c r="I40" t="s">
        <v>29</v>
      </c>
      <c r="J40" s="24">
        <v>156.1</v>
      </c>
    </row>
    <row r="41" spans="1:15" ht="65.25" customHeight="1">
      <c r="A41" t="s">
        <v>173</v>
      </c>
      <c r="B41" t="s">
        <v>174</v>
      </c>
      <c r="D41" s="8" t="s">
        <v>175</v>
      </c>
      <c r="E41" t="s">
        <v>115</v>
      </c>
      <c r="F41" t="s">
        <v>176</v>
      </c>
      <c r="G41" t="s">
        <v>116</v>
      </c>
      <c r="H41" s="24">
        <v>107100</v>
      </c>
      <c r="I41" t="s">
        <v>40</v>
      </c>
      <c r="J41" s="24" t="s">
        <v>102</v>
      </c>
      <c r="K41" s="1">
        <v>45961</v>
      </c>
      <c r="L41" s="1">
        <v>46324</v>
      </c>
      <c r="O41" t="s">
        <v>118</v>
      </c>
    </row>
    <row r="42" spans="1:15" ht="90.75" customHeight="1">
      <c r="A42" s="46" t="s">
        <v>177</v>
      </c>
      <c r="B42" s="38" t="s">
        <v>178</v>
      </c>
      <c r="C42" s="55" t="s">
        <v>17</v>
      </c>
      <c r="D42" s="40" t="s">
        <v>179</v>
      </c>
      <c r="E42" s="38"/>
      <c r="F42" s="38" t="s">
        <v>50</v>
      </c>
      <c r="G42" t="s">
        <v>28</v>
      </c>
    </row>
    <row r="43" spans="1:15" ht="30">
      <c r="A43" s="47" t="s">
        <v>180</v>
      </c>
      <c r="B43" s="38" t="s">
        <v>114</v>
      </c>
      <c r="C43" s="38"/>
      <c r="D43" s="40" t="s">
        <v>181</v>
      </c>
      <c r="E43" s="38"/>
      <c r="F43" s="38"/>
      <c r="G43" t="s">
        <v>182</v>
      </c>
      <c r="I43" t="s">
        <v>40</v>
      </c>
      <c r="J43" s="24">
        <v>68</v>
      </c>
      <c r="K43" s="1">
        <v>46088</v>
      </c>
      <c r="L43" s="1">
        <v>46452</v>
      </c>
    </row>
    <row r="44" spans="1:15">
      <c r="A44" s="45" t="s">
        <v>183</v>
      </c>
      <c r="B44" t="s">
        <v>70</v>
      </c>
      <c r="C44" s="56"/>
      <c r="D44" t="s">
        <v>184</v>
      </c>
    </row>
    <row r="45" spans="1:15" ht="60">
      <c r="A45" t="s">
        <v>185</v>
      </c>
      <c r="B45" t="s">
        <v>178</v>
      </c>
      <c r="D45" s="54" t="s">
        <v>186</v>
      </c>
    </row>
    <row r="46" spans="1:15" ht="48.75" customHeight="1">
      <c r="A46" s="51" t="s">
        <v>187</v>
      </c>
      <c r="B46" t="s">
        <v>188</v>
      </c>
      <c r="C46" s="56"/>
      <c r="D46" s="8" t="s">
        <v>189</v>
      </c>
      <c r="F46" t="s">
        <v>190</v>
      </c>
    </row>
    <row r="47" spans="1:15" ht="60">
      <c r="A47" s="47" t="s">
        <v>191</v>
      </c>
      <c r="B47" s="38" t="s">
        <v>192</v>
      </c>
      <c r="C47" s="57"/>
      <c r="D47" s="35" t="s">
        <v>193</v>
      </c>
      <c r="E47" s="38" t="s">
        <v>70</v>
      </c>
      <c r="F47" t="s">
        <v>28</v>
      </c>
      <c r="G47" s="24"/>
      <c r="H47" t="s">
        <v>29</v>
      </c>
      <c r="I47" s="37">
        <v>1025</v>
      </c>
      <c r="J47"/>
      <c r="M47" s="25"/>
      <c r="N47"/>
    </row>
    <row r="48" spans="1:15"/>
    <row r="49"/>
    <row r="50"/>
    <row r="51"/>
    <row r="52"/>
    <row r="53"/>
    <row r="54"/>
    <row r="55"/>
    <row r="56"/>
    <row r="57"/>
    <row r="58"/>
    <row r="59"/>
    <row r="60"/>
    <row r="61"/>
    <row r="62"/>
    <row r="63"/>
    <row r="64"/>
    <row r="65"/>
    <row r="66"/>
    <row r="67"/>
    <row r="68"/>
    <row r="69"/>
    <row r="70"/>
    <row r="71"/>
    <row r="72"/>
    <row r="73"/>
    <row r="74"/>
    <row r="75"/>
    <row r="76"/>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sheetData>
  <autoFilter ref="A1:M47" xr:uid="{C76FF786-C3F9-984D-8C4F-4AEDF1715B21}">
    <sortState xmlns:xlrd2="http://schemas.microsoft.com/office/spreadsheetml/2017/richdata2" ref="A2:M47">
      <sortCondition sortBy="cellColor" ref="C1" dxfId="0"/>
    </sortState>
  </autoFilter>
  <sortState xmlns:xlrd2="http://schemas.microsoft.com/office/spreadsheetml/2017/richdata2" ref="A2:O43">
    <sortCondition ref="A2:A43"/>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1094A-6AE2-4624-8331-4F47CA3D1986}">
  <dimension ref="A1:U76"/>
  <sheetViews>
    <sheetView zoomScale="120" zoomScaleNormal="120" workbookViewId="0">
      <pane ySplit="1" topLeftCell="A2" activePane="bottomLeft" state="frozen"/>
      <selection pane="bottomLeft" activeCell="B1" sqref="B1"/>
    </sheetView>
  </sheetViews>
  <sheetFormatPr defaultColWidth="8.85546875" defaultRowHeight="15" customHeight="1"/>
  <cols>
    <col min="1" max="1" width="10" customWidth="1"/>
    <col min="2" max="2" width="31.42578125" style="8" customWidth="1"/>
    <col min="3" max="3" width="30.28515625" customWidth="1"/>
    <col min="4" max="4" width="73.140625" customWidth="1"/>
    <col min="5" max="5" width="18.85546875" hidden="1" customWidth="1"/>
    <col min="6" max="6" width="40.42578125" bestFit="1" customWidth="1"/>
    <col min="7" max="7" width="19.42578125" customWidth="1"/>
    <col min="8" max="8" width="29.7109375" customWidth="1"/>
    <col min="9" max="9" width="27.85546875" bestFit="1" customWidth="1"/>
    <col min="10" max="10" width="22.85546875" bestFit="1" customWidth="1"/>
    <col min="11" max="11" width="11.140625" bestFit="1" customWidth="1"/>
    <col min="12" max="12" width="13.28515625" bestFit="1" customWidth="1"/>
    <col min="13" max="13" width="11" bestFit="1" customWidth="1"/>
    <col min="14" max="14" width="11.85546875" bestFit="1" customWidth="1"/>
    <col min="15" max="15" width="11.42578125" bestFit="1" customWidth="1"/>
    <col min="16" max="16" width="19" bestFit="1" customWidth="1"/>
    <col min="17" max="17" width="31" customWidth="1"/>
    <col min="18" max="18" width="15" bestFit="1" customWidth="1"/>
    <col min="19" max="19" width="15.85546875" bestFit="1" customWidth="1"/>
    <col min="20" max="20" width="19" bestFit="1" customWidth="1"/>
    <col min="21" max="21" width="6.140625" bestFit="1" customWidth="1"/>
  </cols>
  <sheetData>
    <row r="1" spans="1:21" s="7" customFormat="1">
      <c r="A1" s="7" t="s">
        <v>194</v>
      </c>
      <c r="B1" s="33" t="s">
        <v>195</v>
      </c>
      <c r="C1" s="7" t="s">
        <v>196</v>
      </c>
      <c r="D1" s="7" t="s">
        <v>197</v>
      </c>
      <c r="E1" s="7" t="s">
        <v>198</v>
      </c>
      <c r="F1" s="7" t="s">
        <v>199</v>
      </c>
      <c r="G1" s="7" t="s">
        <v>200</v>
      </c>
      <c r="H1" s="7" t="s">
        <v>201</v>
      </c>
      <c r="I1" s="7" t="s">
        <v>202</v>
      </c>
      <c r="J1" s="7" t="s">
        <v>203</v>
      </c>
      <c r="K1" s="7" t="s">
        <v>204</v>
      </c>
      <c r="L1" s="7" t="s">
        <v>205</v>
      </c>
      <c r="M1" s="7" t="s">
        <v>206</v>
      </c>
      <c r="N1" s="7" t="s">
        <v>207</v>
      </c>
      <c r="O1" s="7" t="s">
        <v>208</v>
      </c>
      <c r="P1" s="7" t="s">
        <v>209</v>
      </c>
      <c r="Q1" s="7" t="s">
        <v>210</v>
      </c>
      <c r="R1" s="7" t="s">
        <v>211</v>
      </c>
      <c r="S1" s="7" t="s">
        <v>212</v>
      </c>
      <c r="T1" s="7" t="s">
        <v>213</v>
      </c>
      <c r="U1" s="7" t="s">
        <v>214</v>
      </c>
    </row>
    <row r="2" spans="1:21" ht="64.5" customHeight="1">
      <c r="A2" t="s">
        <v>62</v>
      </c>
      <c r="D2" s="8" t="s">
        <v>215</v>
      </c>
      <c r="F2" s="2" t="s">
        <v>31</v>
      </c>
      <c r="G2" s="2" t="s">
        <v>111</v>
      </c>
      <c r="H2" s="2" t="s">
        <v>216</v>
      </c>
      <c r="I2" t="s">
        <v>36</v>
      </c>
      <c r="J2" t="s">
        <v>35</v>
      </c>
      <c r="K2">
        <v>201959.1</v>
      </c>
      <c r="L2">
        <v>136</v>
      </c>
      <c r="M2">
        <v>1484.99</v>
      </c>
      <c r="N2" s="1">
        <v>45659</v>
      </c>
      <c r="O2" s="1">
        <v>45654</v>
      </c>
      <c r="P2" t="s">
        <v>217</v>
      </c>
    </row>
    <row r="3" spans="1:21">
      <c r="A3" t="s">
        <v>62</v>
      </c>
      <c r="D3" t="s">
        <v>218</v>
      </c>
      <c r="F3" s="2" t="s">
        <v>219</v>
      </c>
      <c r="G3" s="2" t="s">
        <v>111</v>
      </c>
      <c r="H3" s="2"/>
      <c r="J3" t="s">
        <v>19</v>
      </c>
      <c r="K3">
        <v>61234.91</v>
      </c>
      <c r="L3">
        <v>25</v>
      </c>
      <c r="M3">
        <v>2449.4</v>
      </c>
      <c r="N3" s="1">
        <v>45679</v>
      </c>
      <c r="O3" s="1">
        <v>45648</v>
      </c>
      <c r="P3" t="s">
        <v>217</v>
      </c>
      <c r="Q3" t="s">
        <v>220</v>
      </c>
    </row>
    <row r="4" spans="1:21">
      <c r="A4" t="s">
        <v>62</v>
      </c>
      <c r="F4" t="s">
        <v>221</v>
      </c>
      <c r="G4" t="s">
        <v>23</v>
      </c>
      <c r="I4" t="s">
        <v>26</v>
      </c>
      <c r="J4" t="s">
        <v>27</v>
      </c>
      <c r="K4">
        <v>51265.919999999998</v>
      </c>
      <c r="L4">
        <v>15</v>
      </c>
      <c r="M4">
        <v>3417.73</v>
      </c>
      <c r="N4" s="1">
        <v>45683</v>
      </c>
      <c r="O4" s="1">
        <v>45652</v>
      </c>
      <c r="P4" t="s">
        <v>222</v>
      </c>
    </row>
    <row r="5" spans="1:21">
      <c r="A5" t="s">
        <v>62</v>
      </c>
      <c r="F5" t="s">
        <v>223</v>
      </c>
      <c r="G5" t="s">
        <v>23</v>
      </c>
      <c r="I5" t="s">
        <v>26</v>
      </c>
      <c r="J5" t="s">
        <v>27</v>
      </c>
      <c r="K5">
        <v>49588.15</v>
      </c>
      <c r="L5">
        <v>127</v>
      </c>
      <c r="M5">
        <v>390.46</v>
      </c>
      <c r="N5" s="1">
        <v>45658</v>
      </c>
      <c r="O5" s="1">
        <v>45656</v>
      </c>
      <c r="P5" t="s">
        <v>222</v>
      </c>
    </row>
    <row r="6" spans="1:21">
      <c r="A6" t="s">
        <v>62</v>
      </c>
      <c r="D6" t="s">
        <v>224</v>
      </c>
      <c r="F6" s="5" t="s">
        <v>225</v>
      </c>
      <c r="G6" t="s">
        <v>88</v>
      </c>
      <c r="I6" t="s">
        <v>26</v>
      </c>
      <c r="J6" t="s">
        <v>134</v>
      </c>
      <c r="K6">
        <v>49231</v>
      </c>
      <c r="L6">
        <v>42</v>
      </c>
      <c r="M6">
        <v>1172.17</v>
      </c>
      <c r="N6" s="1">
        <v>45671</v>
      </c>
      <c r="O6" s="1">
        <v>45656</v>
      </c>
      <c r="P6" t="s">
        <v>222</v>
      </c>
      <c r="Q6" t="s">
        <v>226</v>
      </c>
    </row>
    <row r="7" spans="1:21">
      <c r="A7" t="s">
        <v>62</v>
      </c>
      <c r="D7" t="s">
        <v>227</v>
      </c>
      <c r="F7" t="s">
        <v>162</v>
      </c>
      <c r="G7" t="s">
        <v>228</v>
      </c>
      <c r="H7" t="s">
        <v>229</v>
      </c>
      <c r="I7" t="s">
        <v>36</v>
      </c>
      <c r="J7" t="s">
        <v>164</v>
      </c>
      <c r="K7">
        <v>48925.27</v>
      </c>
      <c r="L7">
        <v>352</v>
      </c>
      <c r="M7">
        <v>138.99</v>
      </c>
      <c r="N7" s="1">
        <v>45658</v>
      </c>
      <c r="O7" s="1">
        <v>45654</v>
      </c>
      <c r="P7" t="s">
        <v>217</v>
      </c>
    </row>
    <row r="8" spans="1:21">
      <c r="A8" t="s">
        <v>62</v>
      </c>
      <c r="F8" s="2" t="s">
        <v>165</v>
      </c>
      <c r="G8" s="2" t="s">
        <v>228</v>
      </c>
      <c r="H8" s="2" t="s">
        <v>230</v>
      </c>
      <c r="I8" t="s">
        <v>36</v>
      </c>
      <c r="J8" t="s">
        <v>164</v>
      </c>
      <c r="K8">
        <v>47341.23</v>
      </c>
      <c r="L8">
        <v>56</v>
      </c>
      <c r="M8">
        <v>845.38</v>
      </c>
      <c r="N8" s="1">
        <v>45660</v>
      </c>
      <c r="O8" s="1">
        <v>45995</v>
      </c>
      <c r="P8" t="s">
        <v>217</v>
      </c>
      <c r="Q8" t="s">
        <v>231</v>
      </c>
    </row>
    <row r="9" spans="1:21">
      <c r="A9" t="s">
        <v>62</v>
      </c>
      <c r="D9" t="s">
        <v>232</v>
      </c>
      <c r="F9" s="5" t="s">
        <v>87</v>
      </c>
      <c r="G9" t="s">
        <v>88</v>
      </c>
      <c r="I9" t="s">
        <v>26</v>
      </c>
      <c r="J9" t="s">
        <v>90</v>
      </c>
      <c r="K9">
        <v>41713.79</v>
      </c>
      <c r="L9">
        <v>188</v>
      </c>
      <c r="M9">
        <v>221.88</v>
      </c>
      <c r="N9" s="1">
        <v>45660</v>
      </c>
      <c r="O9" s="1">
        <v>45654</v>
      </c>
      <c r="P9" t="s">
        <v>222</v>
      </c>
      <c r="Q9" t="s">
        <v>233</v>
      </c>
    </row>
    <row r="10" spans="1:21" s="9" customFormat="1" ht="30">
      <c r="A10" s="9" t="s">
        <v>16</v>
      </c>
      <c r="B10" s="12"/>
      <c r="D10" s="12" t="s">
        <v>234</v>
      </c>
      <c r="F10" s="10" t="s">
        <v>145</v>
      </c>
      <c r="G10" s="10" t="s">
        <v>111</v>
      </c>
      <c r="H10" s="10" t="s">
        <v>235</v>
      </c>
      <c r="I10" s="9" t="s">
        <v>36</v>
      </c>
      <c r="J10" s="9" t="s">
        <v>147</v>
      </c>
      <c r="K10" s="9">
        <v>34670.65</v>
      </c>
      <c r="L10" s="9">
        <v>7</v>
      </c>
      <c r="M10" s="9">
        <v>4952.95</v>
      </c>
      <c r="N10" s="11">
        <v>45689</v>
      </c>
      <c r="O10" s="11">
        <v>45839</v>
      </c>
      <c r="P10" s="9" t="s">
        <v>217</v>
      </c>
    </row>
    <row r="11" spans="1:21" ht="30">
      <c r="A11" t="s">
        <v>62</v>
      </c>
      <c r="D11" s="8" t="s">
        <v>236</v>
      </c>
      <c r="F11" s="2" t="s">
        <v>237</v>
      </c>
      <c r="G11" s="2" t="s">
        <v>77</v>
      </c>
      <c r="H11" s="2"/>
      <c r="J11" t="s">
        <v>50</v>
      </c>
      <c r="K11">
        <v>29825.58</v>
      </c>
      <c r="L11">
        <v>14</v>
      </c>
      <c r="M11">
        <v>2130.4</v>
      </c>
      <c r="N11" s="1">
        <v>45679</v>
      </c>
      <c r="O11" s="1">
        <v>45648</v>
      </c>
      <c r="P11" t="s">
        <v>222</v>
      </c>
      <c r="Q11" t="s">
        <v>238</v>
      </c>
    </row>
    <row r="12" spans="1:21">
      <c r="A12" t="s">
        <v>32</v>
      </c>
      <c r="D12" t="s">
        <v>239</v>
      </c>
      <c r="F12" t="s">
        <v>240</v>
      </c>
      <c r="G12" t="s">
        <v>241</v>
      </c>
      <c r="I12" t="s">
        <v>36</v>
      </c>
      <c r="J12" t="s">
        <v>242</v>
      </c>
      <c r="K12">
        <v>27120</v>
      </c>
      <c r="L12">
        <v>15</v>
      </c>
      <c r="M12">
        <v>1808</v>
      </c>
      <c r="N12" s="1">
        <v>45679</v>
      </c>
      <c r="O12" s="1">
        <v>45648</v>
      </c>
      <c r="P12" t="s">
        <v>217</v>
      </c>
      <c r="Q12" s="2" t="s">
        <v>243</v>
      </c>
    </row>
    <row r="13" spans="1:21" ht="30">
      <c r="A13" t="s">
        <v>62</v>
      </c>
      <c r="D13" s="8" t="s">
        <v>244</v>
      </c>
      <c r="F13" t="s">
        <v>65</v>
      </c>
      <c r="G13" t="s">
        <v>66</v>
      </c>
      <c r="J13" t="s">
        <v>68</v>
      </c>
      <c r="K13">
        <v>22758.42</v>
      </c>
      <c r="L13">
        <v>5</v>
      </c>
      <c r="M13">
        <v>4551.68</v>
      </c>
      <c r="N13" s="1">
        <v>45827</v>
      </c>
      <c r="O13" s="1">
        <v>45962</v>
      </c>
      <c r="P13" t="s">
        <v>217</v>
      </c>
    </row>
    <row r="14" spans="1:21" s="28" customFormat="1" ht="30">
      <c r="A14" s="28" t="s">
        <v>245</v>
      </c>
      <c r="B14" s="29" t="s">
        <v>246</v>
      </c>
      <c r="D14" s="29" t="s">
        <v>247</v>
      </c>
      <c r="F14" s="30" t="s">
        <v>248</v>
      </c>
      <c r="G14" s="28" t="s">
        <v>245</v>
      </c>
      <c r="H14" s="31" t="s">
        <v>249</v>
      </c>
      <c r="I14" s="28" t="s">
        <v>250</v>
      </c>
      <c r="J14" s="28" t="s">
        <v>50</v>
      </c>
      <c r="K14" s="28">
        <v>18018</v>
      </c>
      <c r="L14" s="28">
        <v>14</v>
      </c>
      <c r="M14" s="28">
        <v>1287</v>
      </c>
      <c r="N14" s="32">
        <v>45676</v>
      </c>
      <c r="O14" s="32">
        <v>45980</v>
      </c>
      <c r="P14" s="28" t="s">
        <v>222</v>
      </c>
    </row>
    <row r="15" spans="1:21">
      <c r="A15" t="s">
        <v>62</v>
      </c>
      <c r="D15" t="s">
        <v>251</v>
      </c>
      <c r="F15" t="s">
        <v>119</v>
      </c>
      <c r="G15" t="s">
        <v>252</v>
      </c>
      <c r="I15" t="s">
        <v>53</v>
      </c>
      <c r="J15" t="s">
        <v>122</v>
      </c>
      <c r="K15">
        <v>15624</v>
      </c>
      <c r="L15">
        <v>28</v>
      </c>
      <c r="M15">
        <v>558</v>
      </c>
      <c r="N15" s="1">
        <v>45663</v>
      </c>
      <c r="O15" s="1">
        <v>45997</v>
      </c>
      <c r="P15" t="s">
        <v>222</v>
      </c>
    </row>
    <row r="16" spans="1:21">
      <c r="A16" t="s">
        <v>62</v>
      </c>
      <c r="D16" t="s">
        <v>253</v>
      </c>
      <c r="F16" t="s">
        <v>54</v>
      </c>
      <c r="G16" t="s">
        <v>55</v>
      </c>
      <c r="I16" t="s">
        <v>58</v>
      </c>
      <c r="J16" t="s">
        <v>57</v>
      </c>
      <c r="K16">
        <v>13428</v>
      </c>
      <c r="L16">
        <v>14</v>
      </c>
      <c r="M16">
        <v>959.14</v>
      </c>
      <c r="N16" s="1">
        <v>45688</v>
      </c>
      <c r="O16" s="1">
        <v>45657</v>
      </c>
      <c r="P16" t="s">
        <v>222</v>
      </c>
    </row>
    <row r="17" spans="1:18" ht="30">
      <c r="A17" t="s">
        <v>254</v>
      </c>
      <c r="D17" s="8" t="s">
        <v>255</v>
      </c>
      <c r="F17" s="2" t="s">
        <v>256</v>
      </c>
      <c r="G17" s="2" t="s">
        <v>111</v>
      </c>
      <c r="H17" s="2"/>
      <c r="J17" t="s">
        <v>50</v>
      </c>
      <c r="K17">
        <v>11354.22</v>
      </c>
      <c r="L17">
        <v>76</v>
      </c>
      <c r="M17">
        <v>149.4</v>
      </c>
      <c r="N17" s="1">
        <v>45666</v>
      </c>
      <c r="O17" s="1">
        <v>46007</v>
      </c>
      <c r="P17" t="s">
        <v>222</v>
      </c>
      <c r="Q17" t="s">
        <v>257</v>
      </c>
    </row>
    <row r="18" spans="1:18">
      <c r="A18" t="s">
        <v>62</v>
      </c>
      <c r="D18" t="s">
        <v>253</v>
      </c>
      <c r="F18" t="s">
        <v>258</v>
      </c>
      <c r="G18" t="s">
        <v>259</v>
      </c>
      <c r="I18" t="s">
        <v>259</v>
      </c>
      <c r="J18" t="s">
        <v>50</v>
      </c>
      <c r="K18">
        <v>11275</v>
      </c>
      <c r="L18">
        <v>11</v>
      </c>
      <c r="M18">
        <v>1025</v>
      </c>
      <c r="N18" s="1">
        <v>45685</v>
      </c>
      <c r="O18" s="1">
        <v>45654</v>
      </c>
      <c r="P18" t="s">
        <v>222</v>
      </c>
      <c r="R18" t="s">
        <v>260</v>
      </c>
    </row>
    <row r="19" spans="1:18">
      <c r="A19" t="s">
        <v>62</v>
      </c>
      <c r="D19" t="s">
        <v>261</v>
      </c>
      <c r="F19" s="2" t="s">
        <v>127</v>
      </c>
      <c r="G19" s="2" t="s">
        <v>111</v>
      </c>
      <c r="H19" s="2"/>
      <c r="I19" t="s">
        <v>53</v>
      </c>
      <c r="J19" t="s">
        <v>130</v>
      </c>
      <c r="K19">
        <v>11250</v>
      </c>
      <c r="L19">
        <v>14</v>
      </c>
      <c r="M19">
        <v>803.57</v>
      </c>
      <c r="N19" s="1">
        <v>45659</v>
      </c>
      <c r="O19" s="1">
        <v>45993</v>
      </c>
      <c r="P19" t="s">
        <v>222</v>
      </c>
      <c r="Q19" t="s">
        <v>262</v>
      </c>
    </row>
    <row r="20" spans="1:18">
      <c r="A20" t="s">
        <v>263</v>
      </c>
      <c r="D20" t="s">
        <v>264</v>
      </c>
      <c r="F20" t="s">
        <v>265</v>
      </c>
      <c r="G20" t="s">
        <v>266</v>
      </c>
      <c r="I20" t="s">
        <v>267</v>
      </c>
      <c r="J20" t="s">
        <v>50</v>
      </c>
      <c r="K20">
        <v>11130</v>
      </c>
      <c r="L20">
        <v>23</v>
      </c>
      <c r="M20">
        <v>483.91</v>
      </c>
      <c r="N20" s="1">
        <v>45668</v>
      </c>
      <c r="O20" s="1">
        <v>45981</v>
      </c>
      <c r="P20" t="s">
        <v>222</v>
      </c>
    </row>
    <row r="21" spans="1:18" ht="30">
      <c r="A21" t="s">
        <v>62</v>
      </c>
      <c r="D21" s="8" t="s">
        <v>268</v>
      </c>
      <c r="F21" t="s">
        <v>269</v>
      </c>
      <c r="G21" t="s">
        <v>23</v>
      </c>
      <c r="I21" t="s">
        <v>26</v>
      </c>
      <c r="J21" t="s">
        <v>27</v>
      </c>
      <c r="K21">
        <v>11055.62</v>
      </c>
      <c r="L21">
        <v>12</v>
      </c>
      <c r="M21">
        <v>921.3</v>
      </c>
      <c r="N21" s="1">
        <v>45861</v>
      </c>
      <c r="O21" s="1">
        <v>46003</v>
      </c>
      <c r="P21" t="s">
        <v>222</v>
      </c>
    </row>
    <row r="22" spans="1:18" ht="64.5" customHeight="1">
      <c r="A22" t="s">
        <v>32</v>
      </c>
      <c r="D22" t="s">
        <v>270</v>
      </c>
      <c r="F22" s="2" t="s">
        <v>271</v>
      </c>
      <c r="G22" s="2" t="s">
        <v>272</v>
      </c>
      <c r="H22" s="2"/>
      <c r="I22" t="s">
        <v>53</v>
      </c>
      <c r="J22" t="s">
        <v>273</v>
      </c>
      <c r="K22">
        <v>10517.62</v>
      </c>
      <c r="L22">
        <v>28</v>
      </c>
      <c r="M22">
        <v>375.63</v>
      </c>
      <c r="N22" s="1">
        <v>45674</v>
      </c>
      <c r="O22" s="1">
        <v>45656</v>
      </c>
      <c r="P22" t="s">
        <v>217</v>
      </c>
      <c r="Q22" t="s">
        <v>274</v>
      </c>
    </row>
    <row r="23" spans="1:18">
      <c r="A23" t="s">
        <v>74</v>
      </c>
      <c r="D23" t="s">
        <v>275</v>
      </c>
      <c r="F23" t="s">
        <v>93</v>
      </c>
      <c r="G23" t="s">
        <v>276</v>
      </c>
      <c r="I23" t="s">
        <v>36</v>
      </c>
      <c r="J23" t="s">
        <v>96</v>
      </c>
      <c r="K23">
        <v>9260.98</v>
      </c>
      <c r="L23">
        <v>9</v>
      </c>
      <c r="M23">
        <v>1029</v>
      </c>
      <c r="N23" s="1">
        <v>45821</v>
      </c>
      <c r="O23" s="1">
        <v>45966</v>
      </c>
      <c r="P23" t="s">
        <v>222</v>
      </c>
      <c r="Q23" t="s">
        <v>277</v>
      </c>
    </row>
    <row r="24" spans="1:18">
      <c r="A24" t="s">
        <v>62</v>
      </c>
      <c r="D24" t="s">
        <v>278</v>
      </c>
      <c r="F24" s="2" t="s">
        <v>279</v>
      </c>
      <c r="G24" s="2" t="s">
        <v>77</v>
      </c>
      <c r="H24" s="2"/>
      <c r="J24" t="s">
        <v>79</v>
      </c>
      <c r="K24">
        <v>8219.23</v>
      </c>
      <c r="L24">
        <v>14</v>
      </c>
      <c r="M24">
        <v>587.09</v>
      </c>
      <c r="N24" s="1">
        <v>45684</v>
      </c>
      <c r="O24" s="1">
        <v>45649</v>
      </c>
      <c r="P24" t="s">
        <v>222</v>
      </c>
    </row>
    <row r="25" spans="1:18" ht="30">
      <c r="A25" t="s">
        <v>245</v>
      </c>
      <c r="B25" s="8" t="s">
        <v>280</v>
      </c>
      <c r="D25" t="s">
        <v>281</v>
      </c>
      <c r="F25" s="6" t="s">
        <v>282</v>
      </c>
      <c r="G25" t="s">
        <v>241</v>
      </c>
      <c r="J25" t="s">
        <v>50</v>
      </c>
      <c r="K25">
        <v>7840</v>
      </c>
      <c r="L25">
        <v>14</v>
      </c>
      <c r="M25">
        <v>560</v>
      </c>
      <c r="N25" s="1">
        <v>45675</v>
      </c>
      <c r="O25" s="1">
        <v>45979</v>
      </c>
      <c r="P25" t="s">
        <v>222</v>
      </c>
    </row>
    <row r="26" spans="1:18">
      <c r="A26" t="s">
        <v>32</v>
      </c>
      <c r="D26" t="s">
        <v>283</v>
      </c>
      <c r="F26" s="4" t="s">
        <v>284</v>
      </c>
      <c r="G26" s="4"/>
      <c r="H26" s="4"/>
      <c r="J26" t="s">
        <v>50</v>
      </c>
      <c r="K26">
        <v>7762.12</v>
      </c>
      <c r="L26">
        <v>42</v>
      </c>
      <c r="M26">
        <v>184.81</v>
      </c>
      <c r="N26" s="1">
        <v>45660</v>
      </c>
      <c r="O26" s="1">
        <v>45958</v>
      </c>
      <c r="P26" t="s">
        <v>222</v>
      </c>
      <c r="Q26" t="s">
        <v>285</v>
      </c>
    </row>
    <row r="27" spans="1:18">
      <c r="A27" t="s">
        <v>62</v>
      </c>
      <c r="D27" t="s">
        <v>286</v>
      </c>
      <c r="F27" t="s">
        <v>287</v>
      </c>
      <c r="G27" t="s">
        <v>111</v>
      </c>
      <c r="H27" t="s">
        <v>288</v>
      </c>
      <c r="I27" t="s">
        <v>289</v>
      </c>
      <c r="J27" t="s">
        <v>147</v>
      </c>
      <c r="K27">
        <v>7618.93</v>
      </c>
      <c r="L27">
        <v>11</v>
      </c>
      <c r="M27">
        <v>692.63</v>
      </c>
      <c r="N27" s="1">
        <v>45664</v>
      </c>
      <c r="O27" s="1">
        <v>45937</v>
      </c>
      <c r="P27" t="s">
        <v>217</v>
      </c>
      <c r="Q27" t="s">
        <v>290</v>
      </c>
    </row>
    <row r="28" spans="1:18">
      <c r="A28" t="s">
        <v>74</v>
      </c>
      <c r="D28" t="s">
        <v>291</v>
      </c>
      <c r="F28" t="s">
        <v>292</v>
      </c>
      <c r="G28" t="s">
        <v>293</v>
      </c>
      <c r="J28" t="s">
        <v>79</v>
      </c>
      <c r="K28">
        <v>7141.22</v>
      </c>
      <c r="L28">
        <v>22</v>
      </c>
      <c r="M28">
        <v>324.60000000000002</v>
      </c>
      <c r="N28" s="1">
        <v>45732</v>
      </c>
      <c r="O28" s="1">
        <v>46007</v>
      </c>
      <c r="P28" t="s">
        <v>222</v>
      </c>
    </row>
    <row r="29" spans="1:18">
      <c r="A29" t="s">
        <v>62</v>
      </c>
      <c r="D29" t="s">
        <v>294</v>
      </c>
      <c r="F29" s="3" t="s">
        <v>295</v>
      </c>
      <c r="G29" s="3" t="s">
        <v>62</v>
      </c>
      <c r="H29" s="3"/>
      <c r="I29" t="s">
        <v>36</v>
      </c>
      <c r="J29" t="s">
        <v>296</v>
      </c>
      <c r="K29">
        <v>6174</v>
      </c>
      <c r="L29">
        <v>4</v>
      </c>
      <c r="M29">
        <v>1543.5</v>
      </c>
      <c r="N29" s="1">
        <v>45661</v>
      </c>
      <c r="O29" s="1">
        <v>45751</v>
      </c>
      <c r="P29" t="s">
        <v>217</v>
      </c>
      <c r="Q29" t="s">
        <v>297</v>
      </c>
    </row>
    <row r="30" spans="1:18">
      <c r="A30" t="s">
        <v>298</v>
      </c>
      <c r="D30" t="s">
        <v>299</v>
      </c>
      <c r="F30" s="6" t="s">
        <v>300</v>
      </c>
      <c r="G30" t="s">
        <v>301</v>
      </c>
      <c r="J30" t="s">
        <v>50</v>
      </c>
      <c r="K30">
        <v>5832.82</v>
      </c>
      <c r="L30">
        <v>28</v>
      </c>
      <c r="M30">
        <v>208.32</v>
      </c>
      <c r="N30" s="1">
        <v>45671</v>
      </c>
      <c r="O30" s="1">
        <v>45655</v>
      </c>
      <c r="P30" t="s">
        <v>222</v>
      </c>
      <c r="Q30" t="s">
        <v>302</v>
      </c>
    </row>
    <row r="31" spans="1:18">
      <c r="A31" t="s">
        <v>105</v>
      </c>
      <c r="D31" t="s">
        <v>303</v>
      </c>
      <c r="F31" t="s">
        <v>304</v>
      </c>
      <c r="G31" t="s">
        <v>23</v>
      </c>
      <c r="I31" t="s">
        <v>26</v>
      </c>
      <c r="J31" t="s">
        <v>27</v>
      </c>
      <c r="K31">
        <v>5340.07</v>
      </c>
      <c r="L31">
        <v>14</v>
      </c>
      <c r="M31">
        <v>381.43</v>
      </c>
      <c r="N31" s="1">
        <v>45694</v>
      </c>
      <c r="O31" s="1">
        <v>45978</v>
      </c>
      <c r="P31" t="s">
        <v>222</v>
      </c>
    </row>
    <row r="32" spans="1:18">
      <c r="A32" t="s">
        <v>62</v>
      </c>
      <c r="F32" s="6" t="s">
        <v>305</v>
      </c>
      <c r="G32" t="s">
        <v>306</v>
      </c>
      <c r="H32" t="s">
        <v>307</v>
      </c>
      <c r="J32" t="s">
        <v>50</v>
      </c>
      <c r="K32">
        <v>4803.0200000000004</v>
      </c>
      <c r="L32">
        <v>14</v>
      </c>
      <c r="M32">
        <v>343.07</v>
      </c>
      <c r="N32" s="1">
        <v>45678</v>
      </c>
      <c r="O32" s="1">
        <v>45982</v>
      </c>
      <c r="P32" t="s">
        <v>222</v>
      </c>
    </row>
    <row r="33" spans="1:17">
      <c r="A33" t="s">
        <v>62</v>
      </c>
      <c r="F33" s="6" t="s">
        <v>308</v>
      </c>
      <c r="G33" t="s">
        <v>228</v>
      </c>
      <c r="I33" t="s">
        <v>36</v>
      </c>
      <c r="J33" t="s">
        <v>35</v>
      </c>
      <c r="K33">
        <v>4564</v>
      </c>
      <c r="L33">
        <v>56</v>
      </c>
      <c r="M33">
        <v>81.5</v>
      </c>
      <c r="N33" s="1">
        <v>45658</v>
      </c>
      <c r="O33" s="1">
        <v>46002</v>
      </c>
      <c r="P33" t="s">
        <v>217</v>
      </c>
      <c r="Q33" t="s">
        <v>309</v>
      </c>
    </row>
    <row r="34" spans="1:17">
      <c r="A34" t="s">
        <v>62</v>
      </c>
      <c r="F34" s="6" t="s">
        <v>310</v>
      </c>
      <c r="G34" t="s">
        <v>306</v>
      </c>
      <c r="J34" t="s">
        <v>50</v>
      </c>
      <c r="K34">
        <v>4494</v>
      </c>
      <c r="L34">
        <v>14</v>
      </c>
      <c r="M34">
        <v>321</v>
      </c>
      <c r="N34" s="1">
        <v>45669</v>
      </c>
      <c r="O34" s="1">
        <v>46003</v>
      </c>
      <c r="P34" t="s">
        <v>222</v>
      </c>
      <c r="Q34" t="s">
        <v>311</v>
      </c>
    </row>
    <row r="35" spans="1:17">
      <c r="A35" t="s">
        <v>62</v>
      </c>
      <c r="D35" t="s">
        <v>312</v>
      </c>
      <c r="F35" t="s">
        <v>177</v>
      </c>
      <c r="G35" t="s">
        <v>313</v>
      </c>
      <c r="J35" t="s">
        <v>50</v>
      </c>
      <c r="K35">
        <v>4338.8</v>
      </c>
      <c r="L35">
        <v>7</v>
      </c>
      <c r="M35">
        <v>619.83000000000004</v>
      </c>
      <c r="N35" s="1">
        <v>45680</v>
      </c>
      <c r="O35" s="1">
        <v>45649</v>
      </c>
      <c r="P35" t="s">
        <v>222</v>
      </c>
    </row>
    <row r="36" spans="1:17">
      <c r="A36" t="s">
        <v>62</v>
      </c>
      <c r="D36" t="s">
        <v>314</v>
      </c>
      <c r="F36" t="s">
        <v>315</v>
      </c>
      <c r="J36" t="s">
        <v>50</v>
      </c>
      <c r="K36">
        <v>3559.6</v>
      </c>
      <c r="L36">
        <v>5</v>
      </c>
      <c r="M36">
        <v>711.92</v>
      </c>
      <c r="N36" s="1">
        <v>45728</v>
      </c>
      <c r="O36" s="1">
        <v>45750</v>
      </c>
      <c r="P36" t="s">
        <v>222</v>
      </c>
    </row>
    <row r="37" spans="1:17" s="5" customFormat="1" ht="30">
      <c r="A37" s="5" t="s">
        <v>105</v>
      </c>
      <c r="B37" s="14"/>
      <c r="D37" s="14" t="s">
        <v>316</v>
      </c>
      <c r="F37" s="5" t="s">
        <v>317</v>
      </c>
      <c r="G37" s="5" t="s">
        <v>23</v>
      </c>
      <c r="I37" s="5" t="s">
        <v>26</v>
      </c>
      <c r="J37" s="5" t="s">
        <v>27</v>
      </c>
      <c r="K37" s="5">
        <v>3457.2</v>
      </c>
      <c r="L37" s="5">
        <v>19</v>
      </c>
      <c r="M37" s="5">
        <v>181.96</v>
      </c>
      <c r="N37" s="13">
        <v>45672</v>
      </c>
      <c r="O37" s="13">
        <v>46006</v>
      </c>
      <c r="P37" s="5" t="s">
        <v>222</v>
      </c>
    </row>
    <row r="38" spans="1:17">
      <c r="A38" t="s">
        <v>32</v>
      </c>
      <c r="D38" t="s">
        <v>318</v>
      </c>
      <c r="F38" t="s">
        <v>319</v>
      </c>
      <c r="G38" t="s">
        <v>252</v>
      </c>
      <c r="I38" t="s">
        <v>36</v>
      </c>
      <c r="J38" t="s">
        <v>35</v>
      </c>
      <c r="K38">
        <v>3136</v>
      </c>
      <c r="L38">
        <v>28</v>
      </c>
      <c r="M38">
        <v>112</v>
      </c>
      <c r="N38" s="1">
        <v>45673</v>
      </c>
      <c r="O38" s="1">
        <v>46007</v>
      </c>
      <c r="P38" t="s">
        <v>217</v>
      </c>
    </row>
    <row r="39" spans="1:17">
      <c r="A39" t="s">
        <v>62</v>
      </c>
      <c r="D39" t="s">
        <v>320</v>
      </c>
      <c r="F39" t="s">
        <v>191</v>
      </c>
      <c r="G39" t="s">
        <v>259</v>
      </c>
      <c r="J39" t="s">
        <v>50</v>
      </c>
      <c r="K39">
        <v>3075</v>
      </c>
      <c r="L39">
        <v>3</v>
      </c>
      <c r="M39">
        <v>1025</v>
      </c>
      <c r="N39" s="1">
        <v>45958</v>
      </c>
      <c r="O39" s="1">
        <v>45989</v>
      </c>
      <c r="P39" t="s">
        <v>222</v>
      </c>
    </row>
    <row r="40" spans="1:17">
      <c r="A40" t="s">
        <v>32</v>
      </c>
      <c r="D40" t="s">
        <v>321</v>
      </c>
      <c r="F40" s="3" t="s">
        <v>322</v>
      </c>
      <c r="G40" s="3" t="s">
        <v>266</v>
      </c>
      <c r="H40" s="3"/>
      <c r="J40" t="s">
        <v>50</v>
      </c>
      <c r="K40">
        <v>2928</v>
      </c>
      <c r="L40">
        <v>11</v>
      </c>
      <c r="M40">
        <v>266.18</v>
      </c>
      <c r="N40" s="1">
        <v>45662</v>
      </c>
      <c r="O40" s="1">
        <v>45935</v>
      </c>
      <c r="P40" t="s">
        <v>222</v>
      </c>
      <c r="Q40" t="s">
        <v>323</v>
      </c>
    </row>
    <row r="41" spans="1:17" s="5" customFormat="1">
      <c r="A41" s="5" t="s">
        <v>32</v>
      </c>
      <c r="B41" s="14"/>
      <c r="D41" s="5" t="s">
        <v>324</v>
      </c>
      <c r="F41" s="5" t="s">
        <v>325</v>
      </c>
      <c r="J41" s="5" t="s">
        <v>326</v>
      </c>
      <c r="K41" s="5">
        <v>2858</v>
      </c>
      <c r="L41" s="5">
        <v>4</v>
      </c>
      <c r="M41" s="5">
        <v>714.5</v>
      </c>
      <c r="N41" s="13">
        <v>45727</v>
      </c>
      <c r="O41" s="13">
        <v>45735</v>
      </c>
      <c r="P41" s="5" t="s">
        <v>222</v>
      </c>
    </row>
    <row r="42" spans="1:17">
      <c r="A42" t="s">
        <v>228</v>
      </c>
      <c r="F42" s="6" t="s">
        <v>327</v>
      </c>
      <c r="G42" t="s">
        <v>306</v>
      </c>
      <c r="J42" t="s">
        <v>50</v>
      </c>
      <c r="K42">
        <v>2836.49</v>
      </c>
      <c r="L42">
        <v>15</v>
      </c>
      <c r="M42">
        <v>189.1</v>
      </c>
      <c r="N42" s="1">
        <v>45685</v>
      </c>
      <c r="O42" s="1">
        <v>45654</v>
      </c>
      <c r="P42" t="s">
        <v>222</v>
      </c>
    </row>
    <row r="43" spans="1:17">
      <c r="A43" t="s">
        <v>228</v>
      </c>
      <c r="F43" s="6" t="s">
        <v>328</v>
      </c>
      <c r="G43" t="s">
        <v>329</v>
      </c>
      <c r="J43" t="s">
        <v>50</v>
      </c>
      <c r="K43">
        <v>2744</v>
      </c>
      <c r="L43">
        <v>14</v>
      </c>
      <c r="M43">
        <v>196</v>
      </c>
      <c r="N43" s="1">
        <v>45679</v>
      </c>
      <c r="O43" s="1">
        <v>45983</v>
      </c>
      <c r="P43" t="s">
        <v>222</v>
      </c>
    </row>
    <row r="44" spans="1:17">
      <c r="A44" t="s">
        <v>32</v>
      </c>
      <c r="D44" t="s">
        <v>330</v>
      </c>
      <c r="F44" s="3" t="s">
        <v>331</v>
      </c>
      <c r="G44" s="3" t="s">
        <v>62</v>
      </c>
      <c r="H44" s="3"/>
      <c r="J44" t="s">
        <v>50</v>
      </c>
      <c r="K44">
        <v>2469.48</v>
      </c>
      <c r="L44">
        <v>8</v>
      </c>
      <c r="M44">
        <v>308.68</v>
      </c>
      <c r="N44" s="1">
        <v>45658</v>
      </c>
      <c r="O44" s="1">
        <v>45962</v>
      </c>
      <c r="P44" t="s">
        <v>222</v>
      </c>
      <c r="Q44" t="s">
        <v>332</v>
      </c>
    </row>
    <row r="45" spans="1:17">
      <c r="A45" t="s">
        <v>16</v>
      </c>
      <c r="D45" t="s">
        <v>333</v>
      </c>
      <c r="F45" s="3" t="s">
        <v>171</v>
      </c>
      <c r="G45" s="3" t="s">
        <v>62</v>
      </c>
      <c r="H45" s="3"/>
      <c r="J45" t="s">
        <v>50</v>
      </c>
      <c r="K45">
        <v>2298.4</v>
      </c>
      <c r="L45">
        <v>15</v>
      </c>
      <c r="M45">
        <v>153.22999999999999</v>
      </c>
      <c r="N45" s="1">
        <v>45681</v>
      </c>
      <c r="O45" s="1">
        <v>45650</v>
      </c>
      <c r="P45" t="s">
        <v>222</v>
      </c>
      <c r="Q45" s="2" t="s">
        <v>334</v>
      </c>
    </row>
    <row r="46" spans="1:17">
      <c r="A46" t="s">
        <v>228</v>
      </c>
      <c r="D46" t="s">
        <v>335</v>
      </c>
      <c r="F46" t="s">
        <v>104</v>
      </c>
      <c r="G46" t="s">
        <v>23</v>
      </c>
      <c r="J46" t="s">
        <v>50</v>
      </c>
      <c r="K46">
        <v>2281.6</v>
      </c>
      <c r="L46">
        <v>8</v>
      </c>
      <c r="M46">
        <v>285.2</v>
      </c>
      <c r="N46" s="1">
        <v>45827</v>
      </c>
      <c r="O46" s="1">
        <v>45980</v>
      </c>
      <c r="P46" t="s">
        <v>222</v>
      </c>
    </row>
    <row r="47" spans="1:17">
      <c r="A47" t="s">
        <v>228</v>
      </c>
      <c r="F47" s="6" t="s">
        <v>336</v>
      </c>
      <c r="G47" t="s">
        <v>329</v>
      </c>
      <c r="J47" t="s">
        <v>50</v>
      </c>
      <c r="K47">
        <v>2176</v>
      </c>
      <c r="L47">
        <v>14</v>
      </c>
      <c r="M47">
        <v>155.43</v>
      </c>
      <c r="N47" s="1">
        <v>45676</v>
      </c>
      <c r="O47" s="1">
        <v>45980</v>
      </c>
      <c r="P47" t="s">
        <v>222</v>
      </c>
      <c r="Q47" t="s">
        <v>309</v>
      </c>
    </row>
    <row r="48" spans="1:17">
      <c r="A48" t="s">
        <v>228</v>
      </c>
      <c r="D48" t="s">
        <v>337</v>
      </c>
      <c r="F48" s="2" t="s">
        <v>338</v>
      </c>
      <c r="G48" s="2" t="s">
        <v>62</v>
      </c>
      <c r="H48" s="2"/>
      <c r="J48" t="s">
        <v>50</v>
      </c>
      <c r="K48">
        <v>2116.9299999999998</v>
      </c>
      <c r="L48">
        <v>3</v>
      </c>
      <c r="M48">
        <v>705.64</v>
      </c>
      <c r="N48" s="1">
        <v>45864</v>
      </c>
      <c r="O48" s="1">
        <v>46004</v>
      </c>
      <c r="P48" t="s">
        <v>222</v>
      </c>
    </row>
    <row r="49" spans="1:17">
      <c r="A49" t="s">
        <v>228</v>
      </c>
      <c r="F49" s="6" t="s">
        <v>339</v>
      </c>
      <c r="G49" t="s">
        <v>329</v>
      </c>
      <c r="J49" t="s">
        <v>50</v>
      </c>
      <c r="K49">
        <v>1997.17</v>
      </c>
      <c r="L49">
        <v>14</v>
      </c>
      <c r="M49">
        <v>142.66</v>
      </c>
      <c r="N49" s="1">
        <v>45686</v>
      </c>
      <c r="O49" s="1">
        <v>45655</v>
      </c>
      <c r="P49" t="s">
        <v>222</v>
      </c>
    </row>
    <row r="50" spans="1:17">
      <c r="A50" t="s">
        <v>228</v>
      </c>
      <c r="D50" t="s">
        <v>340</v>
      </c>
      <c r="F50" t="s">
        <v>341</v>
      </c>
      <c r="G50" t="s">
        <v>23</v>
      </c>
      <c r="I50" t="s">
        <v>26</v>
      </c>
      <c r="J50" t="s">
        <v>27</v>
      </c>
      <c r="K50">
        <v>1953.15</v>
      </c>
      <c r="L50">
        <v>46</v>
      </c>
      <c r="M50">
        <v>42.46</v>
      </c>
      <c r="N50" s="1">
        <v>45663</v>
      </c>
      <c r="O50" s="1">
        <v>46002</v>
      </c>
      <c r="P50" t="s">
        <v>222</v>
      </c>
    </row>
    <row r="51" spans="1:17">
      <c r="A51" t="s">
        <v>342</v>
      </c>
      <c r="D51" t="s">
        <v>343</v>
      </c>
      <c r="F51" t="s">
        <v>158</v>
      </c>
      <c r="G51" t="s">
        <v>77</v>
      </c>
      <c r="J51" t="s">
        <v>161</v>
      </c>
      <c r="K51">
        <v>1944.95</v>
      </c>
      <c r="L51">
        <v>6</v>
      </c>
      <c r="M51">
        <v>324.16000000000003</v>
      </c>
      <c r="N51" s="1">
        <v>45700</v>
      </c>
      <c r="O51" s="1">
        <v>45887</v>
      </c>
      <c r="P51" t="s">
        <v>222</v>
      </c>
    </row>
    <row r="52" spans="1:17">
      <c r="A52" t="s">
        <v>228</v>
      </c>
      <c r="F52" s="6" t="s">
        <v>344</v>
      </c>
      <c r="G52" t="s">
        <v>329</v>
      </c>
      <c r="J52" t="s">
        <v>50</v>
      </c>
      <c r="K52">
        <v>1870.46</v>
      </c>
      <c r="L52">
        <v>3</v>
      </c>
      <c r="M52">
        <v>623.49</v>
      </c>
      <c r="N52" s="1">
        <v>45705</v>
      </c>
      <c r="O52" s="1">
        <v>45831</v>
      </c>
      <c r="P52" t="s">
        <v>222</v>
      </c>
      <c r="Q52" t="s">
        <v>309</v>
      </c>
    </row>
    <row r="53" spans="1:17">
      <c r="A53" t="s">
        <v>228</v>
      </c>
      <c r="F53" s="6" t="s">
        <v>345</v>
      </c>
      <c r="G53" t="s">
        <v>329</v>
      </c>
      <c r="J53" t="s">
        <v>50</v>
      </c>
      <c r="K53">
        <v>1777.32</v>
      </c>
      <c r="L53">
        <v>13</v>
      </c>
      <c r="M53">
        <v>136.72</v>
      </c>
      <c r="N53" s="1">
        <v>45684</v>
      </c>
      <c r="O53" s="1">
        <v>45896</v>
      </c>
      <c r="P53" t="s">
        <v>222</v>
      </c>
    </row>
    <row r="54" spans="1:17">
      <c r="A54" t="s">
        <v>228</v>
      </c>
      <c r="D54" t="s">
        <v>346</v>
      </c>
      <c r="F54" s="2" t="s">
        <v>46</v>
      </c>
      <c r="G54" s="2" t="s">
        <v>47</v>
      </c>
      <c r="H54" s="2"/>
      <c r="J54" t="s">
        <v>50</v>
      </c>
      <c r="K54">
        <v>1761.94</v>
      </c>
      <c r="L54">
        <v>18</v>
      </c>
      <c r="M54">
        <v>97.89</v>
      </c>
      <c r="N54" s="1">
        <v>45949</v>
      </c>
      <c r="O54" s="1">
        <v>45991</v>
      </c>
      <c r="P54" t="s">
        <v>222</v>
      </c>
      <c r="Q54" t="s">
        <v>347</v>
      </c>
    </row>
    <row r="55" spans="1:17">
      <c r="A55" t="s">
        <v>105</v>
      </c>
      <c r="D55" t="s">
        <v>348</v>
      </c>
      <c r="F55" t="s">
        <v>349</v>
      </c>
      <c r="G55" t="s">
        <v>23</v>
      </c>
      <c r="I55" t="s">
        <v>26</v>
      </c>
      <c r="J55" t="s">
        <v>27</v>
      </c>
      <c r="K55">
        <v>1748.39</v>
      </c>
      <c r="L55">
        <v>29</v>
      </c>
      <c r="M55">
        <v>60.29</v>
      </c>
      <c r="N55" s="1">
        <v>45734</v>
      </c>
      <c r="O55" s="1">
        <v>45978</v>
      </c>
      <c r="P55" t="s">
        <v>222</v>
      </c>
    </row>
    <row r="56" spans="1:17">
      <c r="A56" t="s">
        <v>342</v>
      </c>
      <c r="D56" t="s">
        <v>350</v>
      </c>
      <c r="F56" s="2" t="s">
        <v>351</v>
      </c>
      <c r="G56" s="2" t="s">
        <v>74</v>
      </c>
      <c r="H56" s="2"/>
      <c r="J56" t="s">
        <v>50</v>
      </c>
      <c r="K56">
        <v>1696.95</v>
      </c>
      <c r="L56">
        <v>7</v>
      </c>
      <c r="M56">
        <v>242.42</v>
      </c>
      <c r="N56" s="1">
        <v>45824</v>
      </c>
      <c r="O56" s="1">
        <v>45977</v>
      </c>
      <c r="P56" t="s">
        <v>222</v>
      </c>
    </row>
    <row r="57" spans="1:17">
      <c r="A57" t="s">
        <v>114</v>
      </c>
      <c r="D57" t="s">
        <v>352</v>
      </c>
      <c r="F57" s="2" t="s">
        <v>353</v>
      </c>
      <c r="G57" s="2" t="s">
        <v>62</v>
      </c>
      <c r="H57" s="2"/>
      <c r="J57" t="s">
        <v>50</v>
      </c>
      <c r="K57">
        <v>1568</v>
      </c>
      <c r="L57">
        <v>16</v>
      </c>
      <c r="M57">
        <v>98</v>
      </c>
      <c r="N57" s="1">
        <v>45679</v>
      </c>
      <c r="O57" s="1">
        <v>45648</v>
      </c>
      <c r="P57" t="s">
        <v>222</v>
      </c>
      <c r="Q57" t="s">
        <v>354</v>
      </c>
    </row>
    <row r="58" spans="1:17">
      <c r="A58" t="s">
        <v>114</v>
      </c>
      <c r="D58" t="s">
        <v>355</v>
      </c>
      <c r="F58" t="s">
        <v>356</v>
      </c>
      <c r="J58" t="s">
        <v>50</v>
      </c>
      <c r="K58">
        <v>1048</v>
      </c>
      <c r="L58">
        <v>11</v>
      </c>
      <c r="M58">
        <v>95.27</v>
      </c>
      <c r="N58" s="1">
        <v>45669</v>
      </c>
      <c r="O58" s="1">
        <v>45850</v>
      </c>
      <c r="P58" t="s">
        <v>222</v>
      </c>
    </row>
    <row r="59" spans="1:17">
      <c r="A59" t="s">
        <v>23</v>
      </c>
      <c r="F59" s="6" t="s">
        <v>357</v>
      </c>
      <c r="G59" t="s">
        <v>358</v>
      </c>
      <c r="J59" t="s">
        <v>50</v>
      </c>
      <c r="K59">
        <v>1015</v>
      </c>
      <c r="L59">
        <v>17</v>
      </c>
      <c r="M59">
        <v>59.71</v>
      </c>
      <c r="N59" s="1">
        <v>45669</v>
      </c>
      <c r="O59" s="1">
        <v>45881</v>
      </c>
      <c r="P59" t="s">
        <v>222</v>
      </c>
    </row>
    <row r="60" spans="1:17">
      <c r="A60" t="s">
        <v>23</v>
      </c>
      <c r="F60" t="s">
        <v>359</v>
      </c>
      <c r="J60" t="s">
        <v>50</v>
      </c>
      <c r="K60">
        <v>929.78</v>
      </c>
      <c r="L60">
        <v>9</v>
      </c>
      <c r="M60">
        <v>103.31</v>
      </c>
      <c r="N60" s="1">
        <v>45836</v>
      </c>
      <c r="O60" s="1">
        <v>45948</v>
      </c>
      <c r="P60" t="s">
        <v>222</v>
      </c>
    </row>
    <row r="61" spans="1:17">
      <c r="A61" t="s">
        <v>23</v>
      </c>
      <c r="F61" t="s">
        <v>360</v>
      </c>
      <c r="G61" t="s">
        <v>266</v>
      </c>
      <c r="J61" t="s">
        <v>50</v>
      </c>
      <c r="K61">
        <v>819</v>
      </c>
      <c r="L61">
        <v>3</v>
      </c>
      <c r="M61">
        <v>273</v>
      </c>
      <c r="N61" s="1">
        <v>45966</v>
      </c>
      <c r="O61" s="1">
        <v>45996</v>
      </c>
      <c r="P61" t="s">
        <v>222</v>
      </c>
    </row>
    <row r="62" spans="1:17">
      <c r="A62" t="s">
        <v>23</v>
      </c>
      <c r="B62" s="34">
        <v>46073</v>
      </c>
      <c r="D62" t="s">
        <v>361</v>
      </c>
      <c r="F62" t="s">
        <v>362</v>
      </c>
      <c r="G62" t="s">
        <v>23</v>
      </c>
      <c r="H62" s="2" t="s">
        <v>363</v>
      </c>
      <c r="J62" t="s">
        <v>50</v>
      </c>
      <c r="K62">
        <v>781.35</v>
      </c>
      <c r="L62">
        <v>9</v>
      </c>
      <c r="M62">
        <v>86.82</v>
      </c>
      <c r="N62" s="1">
        <v>45747</v>
      </c>
      <c r="O62" s="1">
        <v>45991</v>
      </c>
      <c r="P62" t="s">
        <v>222</v>
      </c>
    </row>
    <row r="63" spans="1:17">
      <c r="A63" t="s">
        <v>23</v>
      </c>
      <c r="F63" s="6" t="s">
        <v>364</v>
      </c>
      <c r="G63" t="s">
        <v>365</v>
      </c>
      <c r="J63" t="s">
        <v>50</v>
      </c>
      <c r="K63">
        <v>739.25</v>
      </c>
      <c r="L63">
        <v>15</v>
      </c>
      <c r="M63">
        <v>49.28</v>
      </c>
      <c r="N63" s="1">
        <v>45663</v>
      </c>
      <c r="O63" s="1">
        <v>45997</v>
      </c>
      <c r="P63" t="s">
        <v>222</v>
      </c>
    </row>
    <row r="64" spans="1:17">
      <c r="A64" t="s">
        <v>23</v>
      </c>
      <c r="F64" s="6" t="s">
        <v>366</v>
      </c>
      <c r="G64" t="s">
        <v>329</v>
      </c>
      <c r="J64" t="s">
        <v>50</v>
      </c>
      <c r="K64">
        <v>693</v>
      </c>
      <c r="L64">
        <v>7</v>
      </c>
      <c r="M64">
        <v>99</v>
      </c>
      <c r="N64" s="1">
        <v>45671</v>
      </c>
      <c r="O64" s="1">
        <v>45821</v>
      </c>
      <c r="P64" t="s">
        <v>222</v>
      </c>
    </row>
    <row r="65" spans="1:17">
      <c r="A65" t="s">
        <v>245</v>
      </c>
      <c r="D65" t="s">
        <v>367</v>
      </c>
      <c r="F65" s="6" t="s">
        <v>368</v>
      </c>
      <c r="G65" t="s">
        <v>62</v>
      </c>
      <c r="J65" t="s">
        <v>161</v>
      </c>
      <c r="K65">
        <v>531.69000000000005</v>
      </c>
      <c r="L65">
        <v>3</v>
      </c>
      <c r="M65">
        <v>177.23</v>
      </c>
      <c r="N65" s="1">
        <v>45979</v>
      </c>
      <c r="O65" s="1">
        <v>45979</v>
      </c>
      <c r="P65" t="s">
        <v>222</v>
      </c>
    </row>
    <row r="66" spans="1:17">
      <c r="A66" t="s">
        <v>245</v>
      </c>
      <c r="F66" s="6" t="s">
        <v>369</v>
      </c>
      <c r="J66" t="s">
        <v>161</v>
      </c>
      <c r="K66">
        <v>508.56</v>
      </c>
      <c r="L66">
        <v>3</v>
      </c>
      <c r="M66">
        <v>169.52</v>
      </c>
      <c r="N66" s="1">
        <v>45979</v>
      </c>
      <c r="O66" s="1">
        <v>45979</v>
      </c>
      <c r="P66" t="s">
        <v>222</v>
      </c>
    </row>
    <row r="67" spans="1:17">
      <c r="A67" t="s">
        <v>23</v>
      </c>
      <c r="F67" s="6" t="s">
        <v>370</v>
      </c>
      <c r="G67" t="s">
        <v>371</v>
      </c>
      <c r="J67" t="s">
        <v>50</v>
      </c>
      <c r="K67">
        <v>490</v>
      </c>
      <c r="L67">
        <v>10</v>
      </c>
      <c r="M67">
        <v>49</v>
      </c>
      <c r="N67" s="1">
        <v>45670</v>
      </c>
      <c r="O67" s="1">
        <v>45913</v>
      </c>
      <c r="P67" t="s">
        <v>222</v>
      </c>
    </row>
    <row r="68" spans="1:17">
      <c r="A68" t="s">
        <v>23</v>
      </c>
      <c r="B68" s="34">
        <v>46076</v>
      </c>
      <c r="C68" s="1"/>
      <c r="D68" s="1"/>
      <c r="F68" s="6" t="s">
        <v>372</v>
      </c>
      <c r="G68" t="s">
        <v>373</v>
      </c>
      <c r="H68" s="2" t="s">
        <v>374</v>
      </c>
      <c r="J68" t="s">
        <v>50</v>
      </c>
      <c r="K68">
        <v>304</v>
      </c>
      <c r="L68">
        <v>8</v>
      </c>
      <c r="M68">
        <v>38</v>
      </c>
      <c r="N68" s="1">
        <v>45667</v>
      </c>
      <c r="O68" s="1">
        <v>45848</v>
      </c>
      <c r="P68" t="s">
        <v>222</v>
      </c>
      <c r="Q68" t="s">
        <v>375</v>
      </c>
    </row>
    <row r="69" spans="1:17">
      <c r="A69" t="s">
        <v>245</v>
      </c>
      <c r="F69" s="6" t="s">
        <v>376</v>
      </c>
      <c r="J69" t="s">
        <v>161</v>
      </c>
      <c r="K69">
        <v>298.64999999999998</v>
      </c>
      <c r="L69">
        <v>3</v>
      </c>
      <c r="M69">
        <v>99.55</v>
      </c>
      <c r="N69" s="1">
        <v>45980</v>
      </c>
      <c r="O69" s="1">
        <v>45980</v>
      </c>
      <c r="P69" t="s">
        <v>222</v>
      </c>
    </row>
    <row r="70" spans="1:17">
      <c r="A70" t="s">
        <v>23</v>
      </c>
      <c r="F70" s="6" t="s">
        <v>155</v>
      </c>
      <c r="G70" t="s">
        <v>156</v>
      </c>
      <c r="J70" t="s">
        <v>50</v>
      </c>
      <c r="K70">
        <v>294.41000000000003</v>
      </c>
      <c r="L70">
        <v>6</v>
      </c>
      <c r="M70">
        <v>49.07</v>
      </c>
      <c r="N70" s="1">
        <v>45884</v>
      </c>
      <c r="O70" s="1">
        <v>46005</v>
      </c>
      <c r="P70" t="s">
        <v>222</v>
      </c>
    </row>
    <row r="71" spans="1:17">
      <c r="A71" t="s">
        <v>23</v>
      </c>
      <c r="F71" s="6" t="s">
        <v>377</v>
      </c>
      <c r="G71" t="s">
        <v>306</v>
      </c>
      <c r="J71" t="s">
        <v>50</v>
      </c>
      <c r="K71">
        <v>279.86</v>
      </c>
      <c r="L71">
        <v>14</v>
      </c>
      <c r="M71">
        <v>19.989999999999998</v>
      </c>
      <c r="N71" s="1">
        <v>45671</v>
      </c>
      <c r="O71" s="1">
        <v>46005</v>
      </c>
      <c r="P71" t="s">
        <v>222</v>
      </c>
    </row>
    <row r="72" spans="1:17">
      <c r="A72" t="s">
        <v>23</v>
      </c>
      <c r="F72" s="6" t="s">
        <v>378</v>
      </c>
      <c r="G72" t="s">
        <v>329</v>
      </c>
      <c r="J72" t="s">
        <v>50</v>
      </c>
      <c r="K72">
        <v>196</v>
      </c>
      <c r="L72">
        <v>4</v>
      </c>
      <c r="M72">
        <v>49</v>
      </c>
      <c r="N72" s="1">
        <v>45943</v>
      </c>
      <c r="O72" s="1">
        <v>46004</v>
      </c>
      <c r="P72" t="s">
        <v>222</v>
      </c>
      <c r="Q72" t="s">
        <v>379</v>
      </c>
    </row>
    <row r="73" spans="1:17">
      <c r="A73" t="s">
        <v>23</v>
      </c>
      <c r="F73" s="6" t="s">
        <v>380</v>
      </c>
      <c r="G73" t="s">
        <v>329</v>
      </c>
      <c r="J73" t="s">
        <v>50</v>
      </c>
      <c r="K73">
        <v>167.3</v>
      </c>
      <c r="L73">
        <v>14</v>
      </c>
      <c r="M73">
        <v>11.95</v>
      </c>
      <c r="N73" s="1">
        <v>45670</v>
      </c>
      <c r="O73" s="1">
        <v>46004</v>
      </c>
      <c r="P73" t="s">
        <v>222</v>
      </c>
    </row>
    <row r="74" spans="1:17">
      <c r="A74" t="s">
        <v>23</v>
      </c>
      <c r="D74" t="s">
        <v>381</v>
      </c>
      <c r="F74" s="9" t="s">
        <v>51</v>
      </c>
      <c r="G74" t="s">
        <v>373</v>
      </c>
      <c r="H74" t="s">
        <v>382</v>
      </c>
      <c r="I74" t="s">
        <v>53</v>
      </c>
      <c r="J74" t="s">
        <v>50</v>
      </c>
      <c r="K74">
        <v>154</v>
      </c>
      <c r="L74">
        <v>4</v>
      </c>
      <c r="M74">
        <v>38.5</v>
      </c>
      <c r="N74" s="1">
        <v>45833</v>
      </c>
      <c r="O74" s="1">
        <v>46000</v>
      </c>
      <c r="P74" t="s">
        <v>222</v>
      </c>
      <c r="Q74" t="s">
        <v>383</v>
      </c>
    </row>
    <row r="75" spans="1:17">
      <c r="A75" t="s">
        <v>23</v>
      </c>
      <c r="F75" s="6" t="s">
        <v>384</v>
      </c>
      <c r="J75" t="s">
        <v>161</v>
      </c>
      <c r="K75">
        <v>64.23</v>
      </c>
      <c r="L75">
        <v>3</v>
      </c>
      <c r="M75">
        <v>21.41</v>
      </c>
      <c r="N75" s="1">
        <v>45978</v>
      </c>
      <c r="O75" s="1">
        <v>45978</v>
      </c>
      <c r="P75" t="s">
        <v>222</v>
      </c>
    </row>
    <row r="76" spans="1:17">
      <c r="A76" t="s">
        <v>245</v>
      </c>
      <c r="D76" t="s">
        <v>385</v>
      </c>
      <c r="F76" s="6" t="s">
        <v>386</v>
      </c>
      <c r="G76" t="s">
        <v>387</v>
      </c>
      <c r="J76" t="s">
        <v>50</v>
      </c>
      <c r="K76">
        <v>0</v>
      </c>
      <c r="L76">
        <v>4</v>
      </c>
      <c r="M76">
        <v>0</v>
      </c>
      <c r="N76" s="1">
        <v>45716</v>
      </c>
      <c r="O76" s="1">
        <v>45727</v>
      </c>
      <c r="P76" t="s">
        <v>222</v>
      </c>
    </row>
  </sheetData>
  <autoFilter ref="A1:U76" xr:uid="{F691094A-6AE2-4624-8331-4F47CA3D1986}"/>
  <sortState xmlns:xlrd2="http://schemas.microsoft.com/office/spreadsheetml/2017/richdata2" ref="A2:U76">
    <sortCondition descending="1" ref="K2:K76"/>
    <sortCondition ref="I2:I76"/>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58589-A298-4A28-AC61-B42178431A7C}">
  <dimension ref="A1:O3"/>
  <sheetViews>
    <sheetView workbookViewId="0">
      <selection activeCell="I2" sqref="I2"/>
    </sheetView>
  </sheetViews>
  <sheetFormatPr defaultColWidth="8.85546875" defaultRowHeight="15"/>
  <cols>
    <col min="1" max="1" width="11.7109375" bestFit="1" customWidth="1"/>
    <col min="2" max="2" width="25.140625" customWidth="1"/>
    <col min="3" max="4" width="27.85546875" customWidth="1"/>
    <col min="5" max="5" width="21.42578125" customWidth="1"/>
    <col min="6" max="6" width="18.42578125" customWidth="1"/>
    <col min="7" max="7" width="27.28515625" customWidth="1"/>
    <col min="8" max="8" width="15" customWidth="1"/>
    <col min="9" max="9" width="40.28515625" customWidth="1"/>
    <col min="10" max="10" width="18" customWidth="1"/>
    <col min="11" max="11" width="18.42578125" customWidth="1"/>
    <col min="12" max="12" width="17.7109375" customWidth="1"/>
  </cols>
  <sheetData>
    <row r="1" spans="1:15">
      <c r="A1" s="15" t="s">
        <v>388</v>
      </c>
      <c r="B1" s="15" t="s">
        <v>389</v>
      </c>
      <c r="C1" s="15" t="s">
        <v>390</v>
      </c>
      <c r="D1" s="15" t="s">
        <v>391</v>
      </c>
      <c r="E1" s="15" t="s">
        <v>392</v>
      </c>
      <c r="F1" s="15" t="s">
        <v>393</v>
      </c>
      <c r="G1" s="15" t="s">
        <v>394</v>
      </c>
      <c r="H1" s="15" t="s">
        <v>395</v>
      </c>
      <c r="I1" s="15" t="s">
        <v>396</v>
      </c>
      <c r="J1" s="16" t="s">
        <v>397</v>
      </c>
      <c r="K1" s="16" t="s">
        <v>398</v>
      </c>
      <c r="L1" s="16" t="s">
        <v>399</v>
      </c>
      <c r="M1" s="15"/>
      <c r="N1" s="15"/>
      <c r="O1" s="15"/>
    </row>
    <row r="2" spans="1:15">
      <c r="A2" s="17" t="s">
        <v>400</v>
      </c>
      <c r="B2" s="17" t="s">
        <v>401</v>
      </c>
      <c r="C2" s="17" t="s">
        <v>402</v>
      </c>
      <c r="D2" s="17" t="s">
        <v>403</v>
      </c>
      <c r="E2" s="18">
        <v>45965</v>
      </c>
      <c r="F2" s="18">
        <v>45965</v>
      </c>
      <c r="G2" s="17" t="s">
        <v>171</v>
      </c>
      <c r="H2" s="17">
        <v>295204</v>
      </c>
      <c r="I2" s="17" t="s">
        <v>404</v>
      </c>
      <c r="J2" s="19">
        <v>446.75</v>
      </c>
      <c r="K2" s="19">
        <v>446.75</v>
      </c>
      <c r="L2" s="19">
        <v>0</v>
      </c>
      <c r="M2" s="17"/>
      <c r="N2" s="17"/>
      <c r="O2" s="17"/>
    </row>
    <row r="3" spans="1:15">
      <c r="A3" s="17" t="s">
        <v>400</v>
      </c>
      <c r="B3" s="17" t="s">
        <v>401</v>
      </c>
      <c r="C3" s="17" t="s">
        <v>402</v>
      </c>
      <c r="D3" s="17" t="s">
        <v>403</v>
      </c>
      <c r="E3" s="18">
        <v>45984</v>
      </c>
      <c r="F3" s="18">
        <v>45983</v>
      </c>
      <c r="G3" s="17" t="s">
        <v>405</v>
      </c>
      <c r="H3" s="17">
        <v>365235</v>
      </c>
      <c r="I3" s="17" t="s">
        <v>406</v>
      </c>
      <c r="J3" s="19">
        <v>75</v>
      </c>
      <c r="K3" s="19">
        <v>75</v>
      </c>
      <c r="L3" s="19">
        <v>0</v>
      </c>
      <c r="M3" s="17"/>
      <c r="N3" s="17"/>
      <c r="O3"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CF73-414F-4611-BB6F-6BA70BFBAE68}">
  <dimension ref="A1:O5"/>
  <sheetViews>
    <sheetView workbookViewId="0">
      <selection activeCell="I5" sqref="I5"/>
    </sheetView>
  </sheetViews>
  <sheetFormatPr defaultColWidth="8.85546875" defaultRowHeight="15"/>
  <cols>
    <col min="1" max="1" width="20.42578125" customWidth="1"/>
    <col min="2" max="2" width="25.140625" customWidth="1"/>
    <col min="3" max="4" width="27.85546875" customWidth="1"/>
    <col min="5" max="5" width="21.42578125" customWidth="1"/>
    <col min="6" max="6" width="18.42578125" customWidth="1"/>
    <col min="7" max="7" width="27.28515625" customWidth="1"/>
    <col min="8" max="8" width="15" customWidth="1"/>
    <col min="9" max="9" width="40.28515625" customWidth="1"/>
    <col min="10" max="10" width="18" customWidth="1"/>
    <col min="11" max="11" width="18.42578125" customWidth="1"/>
    <col min="12" max="12" width="17.7109375" customWidth="1"/>
  </cols>
  <sheetData>
    <row r="1" spans="1:15">
      <c r="A1" s="15" t="s">
        <v>388</v>
      </c>
      <c r="B1" s="15" t="s">
        <v>389</v>
      </c>
      <c r="C1" s="15" t="s">
        <v>390</v>
      </c>
      <c r="D1" s="15" t="s">
        <v>391</v>
      </c>
      <c r="E1" s="15" t="s">
        <v>392</v>
      </c>
      <c r="F1" s="15" t="s">
        <v>393</v>
      </c>
      <c r="G1" s="15" t="s">
        <v>394</v>
      </c>
      <c r="H1" s="15" t="s">
        <v>395</v>
      </c>
      <c r="I1" s="15" t="s">
        <v>396</v>
      </c>
      <c r="J1" s="16" t="s">
        <v>397</v>
      </c>
      <c r="K1" s="16" t="s">
        <v>398</v>
      </c>
      <c r="L1" s="16" t="s">
        <v>399</v>
      </c>
      <c r="M1" s="15"/>
      <c r="N1" s="15"/>
      <c r="O1" s="15"/>
    </row>
    <row r="2" spans="1:15">
      <c r="A2" s="17" t="s">
        <v>407</v>
      </c>
      <c r="B2" s="17" t="s">
        <v>408</v>
      </c>
      <c r="C2" s="17" t="s">
        <v>402</v>
      </c>
      <c r="D2" s="17" t="s">
        <v>403</v>
      </c>
      <c r="E2" s="18">
        <v>45966</v>
      </c>
      <c r="F2" s="18">
        <v>45966</v>
      </c>
      <c r="G2" s="17" t="s">
        <v>409</v>
      </c>
      <c r="H2" s="17">
        <v>397738</v>
      </c>
      <c r="I2" s="17" t="s">
        <v>410</v>
      </c>
      <c r="J2" s="19">
        <v>20</v>
      </c>
      <c r="K2" s="19">
        <v>20</v>
      </c>
      <c r="L2" s="19">
        <v>0</v>
      </c>
      <c r="M2" s="17"/>
      <c r="N2" s="17"/>
      <c r="O2" s="17"/>
    </row>
    <row r="3" spans="1:15">
      <c r="A3" s="17" t="s">
        <v>407</v>
      </c>
      <c r="B3" s="17" t="s">
        <v>408</v>
      </c>
      <c r="C3" s="17" t="s">
        <v>402</v>
      </c>
      <c r="D3" s="17" t="s">
        <v>403</v>
      </c>
      <c r="E3" s="18">
        <v>45978</v>
      </c>
      <c r="F3" s="18">
        <v>45978</v>
      </c>
      <c r="G3" s="17" t="s">
        <v>411</v>
      </c>
      <c r="H3" s="17">
        <v>182438</v>
      </c>
      <c r="I3" s="17" t="s">
        <v>412</v>
      </c>
      <c r="J3" s="19">
        <v>79.989999999999995</v>
      </c>
      <c r="K3" s="19">
        <v>79.989999999999995</v>
      </c>
      <c r="L3" s="19">
        <v>0</v>
      </c>
      <c r="M3" s="17"/>
      <c r="N3" s="17"/>
      <c r="O3" s="17"/>
    </row>
    <row r="4" spans="1:15">
      <c r="A4" s="17" t="s">
        <v>407</v>
      </c>
      <c r="B4" s="17" t="s">
        <v>408</v>
      </c>
      <c r="C4" s="17" t="s">
        <v>402</v>
      </c>
      <c r="D4" s="17" t="s">
        <v>403</v>
      </c>
      <c r="E4" s="18">
        <v>45979</v>
      </c>
      <c r="F4" s="18">
        <v>45979</v>
      </c>
      <c r="G4" s="17" t="s">
        <v>413</v>
      </c>
      <c r="H4" s="17">
        <v>1011191</v>
      </c>
      <c r="I4" s="17" t="s">
        <v>414</v>
      </c>
      <c r="J4" s="19">
        <v>40</v>
      </c>
      <c r="K4" s="19">
        <v>40</v>
      </c>
      <c r="L4" s="19">
        <v>0</v>
      </c>
      <c r="M4" s="17"/>
      <c r="N4" s="17"/>
      <c r="O4" s="17"/>
    </row>
    <row r="5" spans="1:15" s="5" customFormat="1">
      <c r="A5" s="20" t="s">
        <v>407</v>
      </c>
      <c r="B5" s="20" t="s">
        <v>408</v>
      </c>
      <c r="C5" s="20" t="s">
        <v>402</v>
      </c>
      <c r="D5" s="20" t="s">
        <v>403</v>
      </c>
      <c r="E5" s="21">
        <v>45979</v>
      </c>
      <c r="F5" s="21">
        <v>45979</v>
      </c>
      <c r="G5" s="20" t="s">
        <v>415</v>
      </c>
      <c r="H5" s="20">
        <v>344794</v>
      </c>
      <c r="I5" s="20" t="s">
        <v>416</v>
      </c>
      <c r="J5" s="22">
        <v>20</v>
      </c>
      <c r="K5" s="22">
        <v>20</v>
      </c>
      <c r="L5" s="22">
        <v>0</v>
      </c>
      <c r="M5" s="20"/>
      <c r="N5" s="20"/>
      <c r="O5"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5F5D5-573C-4769-93CC-AB5209C48E42}">
  <dimension ref="A1:O28"/>
  <sheetViews>
    <sheetView topLeftCell="C1" workbookViewId="0">
      <selection activeCell="J20" sqref="J20"/>
    </sheetView>
  </sheetViews>
  <sheetFormatPr defaultColWidth="8.85546875" defaultRowHeight="15"/>
  <cols>
    <col min="1" max="1" width="20.42578125" customWidth="1"/>
    <col min="2" max="2" width="25.140625" customWidth="1"/>
    <col min="3" max="4" width="27.85546875" customWidth="1"/>
    <col min="5" max="5" width="21.42578125" customWidth="1"/>
    <col min="6" max="6" width="18.42578125" customWidth="1"/>
    <col min="7" max="7" width="27.28515625" customWidth="1"/>
    <col min="8" max="8" width="15" customWidth="1"/>
    <col min="9" max="9" width="40.28515625" customWidth="1"/>
    <col min="10" max="10" width="18" customWidth="1"/>
    <col min="11" max="11" width="18.42578125" customWidth="1"/>
    <col min="12" max="12" width="17.7109375" customWidth="1"/>
  </cols>
  <sheetData>
    <row r="1" spans="1:15">
      <c r="A1" s="15" t="s">
        <v>388</v>
      </c>
      <c r="B1" s="15" t="s">
        <v>389</v>
      </c>
      <c r="C1" s="15" t="s">
        <v>390</v>
      </c>
      <c r="D1" s="15" t="s">
        <v>391</v>
      </c>
      <c r="E1" s="15" t="s">
        <v>392</v>
      </c>
      <c r="F1" s="15" t="s">
        <v>393</v>
      </c>
      <c r="G1" s="15" t="s">
        <v>394</v>
      </c>
      <c r="H1" s="15" t="s">
        <v>395</v>
      </c>
      <c r="I1" s="15" t="s">
        <v>396</v>
      </c>
      <c r="J1" s="16" t="s">
        <v>397</v>
      </c>
      <c r="K1" s="16" t="s">
        <v>398</v>
      </c>
      <c r="L1" s="16" t="s">
        <v>399</v>
      </c>
      <c r="M1" s="15"/>
      <c r="N1" s="15"/>
      <c r="O1" s="15"/>
    </row>
    <row r="2" spans="1:15" s="5" customFormat="1">
      <c r="A2" s="20" t="s">
        <v>417</v>
      </c>
      <c r="B2" s="20" t="s">
        <v>418</v>
      </c>
      <c r="C2" s="20" t="s">
        <v>402</v>
      </c>
      <c r="D2" s="20" t="s">
        <v>403</v>
      </c>
      <c r="E2" s="21">
        <v>45969</v>
      </c>
      <c r="F2" s="21">
        <v>45969</v>
      </c>
      <c r="G2" s="20" t="s">
        <v>419</v>
      </c>
      <c r="H2" s="20">
        <v>318011</v>
      </c>
      <c r="I2" s="20" t="s">
        <v>420</v>
      </c>
      <c r="J2" s="22">
        <v>200</v>
      </c>
      <c r="K2" s="22">
        <v>200</v>
      </c>
      <c r="L2" s="22">
        <v>0</v>
      </c>
      <c r="M2" s="20"/>
      <c r="N2" s="20"/>
      <c r="O2" s="20"/>
    </row>
    <row r="3" spans="1:15">
      <c r="A3" s="17" t="s">
        <v>417</v>
      </c>
      <c r="B3" s="17" t="s">
        <v>418</v>
      </c>
      <c r="C3" s="17" t="s">
        <v>402</v>
      </c>
      <c r="D3" s="17" t="s">
        <v>403</v>
      </c>
      <c r="E3" s="18">
        <v>45975</v>
      </c>
      <c r="F3" s="18">
        <v>45975</v>
      </c>
      <c r="G3" s="17" t="s">
        <v>421</v>
      </c>
      <c r="H3" s="17">
        <v>1164230</v>
      </c>
      <c r="I3" s="17" t="s">
        <v>422</v>
      </c>
      <c r="J3" s="19">
        <v>375.71</v>
      </c>
      <c r="K3" s="19">
        <v>375.71</v>
      </c>
      <c r="L3" s="19">
        <v>0</v>
      </c>
      <c r="M3" s="17"/>
      <c r="N3" s="17"/>
      <c r="O3" s="17"/>
    </row>
    <row r="4" spans="1:15">
      <c r="A4" s="17" t="s">
        <v>417</v>
      </c>
      <c r="B4" s="17" t="s">
        <v>418</v>
      </c>
      <c r="C4" s="17" t="s">
        <v>402</v>
      </c>
      <c r="D4" s="17" t="s">
        <v>403</v>
      </c>
      <c r="E4" s="18">
        <v>45981</v>
      </c>
      <c r="F4" s="18">
        <v>45980</v>
      </c>
      <c r="G4" s="17" t="s">
        <v>423</v>
      </c>
      <c r="H4" s="17">
        <v>420517</v>
      </c>
      <c r="I4" s="17" t="s">
        <v>424</v>
      </c>
      <c r="J4" s="19">
        <v>605.64</v>
      </c>
      <c r="K4" s="19">
        <v>605.64</v>
      </c>
      <c r="L4" s="19">
        <v>0</v>
      </c>
      <c r="M4" s="17"/>
      <c r="N4" s="17"/>
      <c r="O4" s="17"/>
    </row>
    <row r="5" spans="1:15" s="5" customFormat="1">
      <c r="A5" s="20" t="s">
        <v>417</v>
      </c>
      <c r="B5" s="20" t="s">
        <v>418</v>
      </c>
      <c r="C5" s="20" t="s">
        <v>402</v>
      </c>
      <c r="D5" s="20" t="s">
        <v>403</v>
      </c>
      <c r="E5" s="21">
        <v>45982</v>
      </c>
      <c r="F5" s="21">
        <v>45982</v>
      </c>
      <c r="G5" s="20" t="s">
        <v>425</v>
      </c>
      <c r="H5" s="20">
        <v>1144592</v>
      </c>
      <c r="I5" s="20" t="s">
        <v>426</v>
      </c>
      <c r="J5" s="22">
        <v>15</v>
      </c>
      <c r="K5" s="22">
        <v>15</v>
      </c>
      <c r="L5" s="22">
        <v>0</v>
      </c>
      <c r="M5" s="20"/>
      <c r="N5" s="20"/>
      <c r="O5" s="20"/>
    </row>
    <row r="6" spans="1:15" s="5" customFormat="1">
      <c r="A6" s="20" t="s">
        <v>417</v>
      </c>
      <c r="B6" s="20" t="s">
        <v>418</v>
      </c>
      <c r="C6" s="20" t="s">
        <v>402</v>
      </c>
      <c r="D6" s="20" t="s">
        <v>403</v>
      </c>
      <c r="E6" s="21">
        <v>45963</v>
      </c>
      <c r="F6" s="21">
        <v>45963</v>
      </c>
      <c r="G6" s="20" t="s">
        <v>37</v>
      </c>
      <c r="H6" s="20">
        <v>153342</v>
      </c>
      <c r="I6" s="20" t="s">
        <v>427</v>
      </c>
      <c r="J6" s="22">
        <v>20</v>
      </c>
      <c r="K6" s="22">
        <v>20</v>
      </c>
      <c r="L6" s="22">
        <v>0</v>
      </c>
      <c r="M6" s="20"/>
      <c r="N6" s="20"/>
      <c r="O6" s="20"/>
    </row>
    <row r="7" spans="1:15" s="5" customFormat="1">
      <c r="A7" s="20" t="s">
        <v>417</v>
      </c>
      <c r="B7" s="20" t="s">
        <v>418</v>
      </c>
      <c r="C7" s="20" t="s">
        <v>402</v>
      </c>
      <c r="D7" s="20" t="s">
        <v>403</v>
      </c>
      <c r="E7" s="21">
        <v>45975</v>
      </c>
      <c r="F7" s="21">
        <v>45975</v>
      </c>
      <c r="G7" s="20" t="s">
        <v>37</v>
      </c>
      <c r="H7" s="20">
        <v>415363</v>
      </c>
      <c r="I7" s="20" t="s">
        <v>427</v>
      </c>
      <c r="J7" s="22">
        <v>20</v>
      </c>
      <c r="K7" s="22">
        <v>20</v>
      </c>
      <c r="L7" s="22">
        <v>0</v>
      </c>
      <c r="M7" s="20"/>
      <c r="N7" s="20"/>
      <c r="O7" s="20"/>
    </row>
    <row r="8" spans="1:15" s="5" customFormat="1">
      <c r="A8" s="20" t="s">
        <v>417</v>
      </c>
      <c r="B8" s="20" t="s">
        <v>418</v>
      </c>
      <c r="C8" s="20" t="s">
        <v>402</v>
      </c>
      <c r="D8" s="20" t="s">
        <v>403</v>
      </c>
      <c r="E8" s="21">
        <v>45975</v>
      </c>
      <c r="F8" s="21">
        <v>45975</v>
      </c>
      <c r="G8" s="20" t="s">
        <v>428</v>
      </c>
      <c r="H8" s="20">
        <v>1164764</v>
      </c>
      <c r="I8" s="20" t="s">
        <v>429</v>
      </c>
      <c r="J8" s="22">
        <v>22</v>
      </c>
      <c r="K8" s="22">
        <v>22</v>
      </c>
      <c r="L8" s="22">
        <v>0</v>
      </c>
      <c r="M8" s="20"/>
      <c r="N8" s="20"/>
      <c r="O8" s="20"/>
    </row>
    <row r="9" spans="1:15">
      <c r="A9" s="20" t="s">
        <v>417</v>
      </c>
      <c r="B9" s="20" t="s">
        <v>418</v>
      </c>
      <c r="C9" s="20" t="s">
        <v>402</v>
      </c>
      <c r="D9" s="20" t="s">
        <v>403</v>
      </c>
      <c r="E9" s="21">
        <v>45981</v>
      </c>
      <c r="F9" s="21">
        <v>45981</v>
      </c>
      <c r="G9" s="20" t="s">
        <v>430</v>
      </c>
      <c r="H9" s="20">
        <v>421303</v>
      </c>
      <c r="I9" s="20" t="s">
        <v>431</v>
      </c>
      <c r="J9" s="22">
        <v>20</v>
      </c>
      <c r="K9" s="22">
        <v>20</v>
      </c>
      <c r="L9" s="22">
        <v>0</v>
      </c>
      <c r="M9" s="17"/>
      <c r="N9" s="17"/>
      <c r="O9" s="17"/>
    </row>
    <row r="10" spans="1:15">
      <c r="A10" s="17" t="s">
        <v>417</v>
      </c>
      <c r="B10" s="17" t="s">
        <v>418</v>
      </c>
      <c r="C10" s="17" t="s">
        <v>402</v>
      </c>
      <c r="D10" s="17" t="s">
        <v>403</v>
      </c>
      <c r="E10" s="18">
        <v>45983</v>
      </c>
      <c r="F10" s="18">
        <v>45983</v>
      </c>
      <c r="G10" s="17" t="s">
        <v>432</v>
      </c>
      <c r="H10" s="17">
        <v>294681</v>
      </c>
      <c r="I10" s="17" t="s">
        <v>433</v>
      </c>
      <c r="J10" s="19">
        <v>9</v>
      </c>
      <c r="K10" s="19">
        <v>9</v>
      </c>
      <c r="L10" s="19">
        <v>0</v>
      </c>
      <c r="M10" s="17"/>
      <c r="N10" s="17"/>
      <c r="O10" s="17"/>
    </row>
    <row r="11" spans="1:15" s="5" customFormat="1">
      <c r="A11" s="20" t="s">
        <v>417</v>
      </c>
      <c r="B11" s="20" t="s">
        <v>418</v>
      </c>
      <c r="C11" s="20" t="s">
        <v>402</v>
      </c>
      <c r="D11" s="20" t="s">
        <v>403</v>
      </c>
      <c r="E11" s="21">
        <v>45987</v>
      </c>
      <c r="F11" s="21">
        <v>45987</v>
      </c>
      <c r="G11" s="20" t="s">
        <v>434</v>
      </c>
      <c r="H11" s="20">
        <v>689316</v>
      </c>
      <c r="I11" s="20" t="s">
        <v>435</v>
      </c>
      <c r="J11" s="22">
        <v>15.87</v>
      </c>
      <c r="K11" s="22">
        <v>15.87</v>
      </c>
      <c r="L11" s="22">
        <v>0</v>
      </c>
      <c r="M11" s="20"/>
      <c r="N11" s="20"/>
      <c r="O11" s="20"/>
    </row>
    <row r="12" spans="1:15" s="5" customFormat="1">
      <c r="A12" s="20" t="s">
        <v>417</v>
      </c>
      <c r="B12" s="20" t="s">
        <v>418</v>
      </c>
      <c r="C12" s="20" t="s">
        <v>402</v>
      </c>
      <c r="D12" s="20" t="s">
        <v>403</v>
      </c>
      <c r="E12" s="21">
        <v>45962</v>
      </c>
      <c r="F12" s="21">
        <v>45962</v>
      </c>
      <c r="G12" s="20" t="s">
        <v>61</v>
      </c>
      <c r="H12" s="20">
        <v>303215</v>
      </c>
      <c r="I12" s="20" t="s">
        <v>436</v>
      </c>
      <c r="J12" s="22">
        <v>0.01</v>
      </c>
      <c r="K12" s="22">
        <v>0.01</v>
      </c>
      <c r="L12" s="22">
        <v>0</v>
      </c>
      <c r="M12" s="20"/>
      <c r="N12" s="20"/>
      <c r="O12" s="20"/>
    </row>
    <row r="13" spans="1:15" s="5" customFormat="1">
      <c r="A13" s="20" t="s">
        <v>417</v>
      </c>
      <c r="B13" s="20" t="s">
        <v>418</v>
      </c>
      <c r="C13" s="20" t="s">
        <v>402</v>
      </c>
      <c r="D13" s="20" t="s">
        <v>403</v>
      </c>
      <c r="E13" s="21">
        <v>45965</v>
      </c>
      <c r="F13" s="21">
        <v>45964</v>
      </c>
      <c r="G13" s="20" t="s">
        <v>61</v>
      </c>
      <c r="H13" s="20">
        <v>364299</v>
      </c>
      <c r="I13" s="20" t="s">
        <v>437</v>
      </c>
      <c r="J13" s="22">
        <v>19.989999999999998</v>
      </c>
      <c r="K13" s="22">
        <v>19.989999999999998</v>
      </c>
      <c r="L13" s="22">
        <v>0</v>
      </c>
      <c r="M13" s="20"/>
      <c r="N13" s="20"/>
      <c r="O13" s="20"/>
    </row>
    <row r="14" spans="1:15" s="5" customFormat="1">
      <c r="A14" s="17" t="s">
        <v>417</v>
      </c>
      <c r="B14" s="17" t="s">
        <v>418</v>
      </c>
      <c r="C14" s="17" t="s">
        <v>402</v>
      </c>
      <c r="D14" s="17" t="s">
        <v>403</v>
      </c>
      <c r="E14" s="18">
        <v>45962</v>
      </c>
      <c r="F14" s="18">
        <v>45962</v>
      </c>
      <c r="G14" s="17" t="s">
        <v>438</v>
      </c>
      <c r="H14" s="17">
        <v>743557</v>
      </c>
      <c r="I14" s="17" t="s">
        <v>439</v>
      </c>
      <c r="J14" s="19">
        <v>39</v>
      </c>
      <c r="K14" s="19">
        <v>39</v>
      </c>
      <c r="L14" s="19">
        <v>0</v>
      </c>
      <c r="M14" s="20"/>
      <c r="N14" s="20"/>
      <c r="O14" s="20"/>
    </row>
    <row r="15" spans="1:15">
      <c r="A15" s="17" t="s">
        <v>417</v>
      </c>
      <c r="B15" s="17" t="s">
        <v>418</v>
      </c>
      <c r="C15" s="17" t="s">
        <v>402</v>
      </c>
      <c r="D15" s="17" t="s">
        <v>403</v>
      </c>
      <c r="E15" s="18">
        <v>45966</v>
      </c>
      <c r="F15" s="18">
        <v>45966</v>
      </c>
      <c r="G15" s="17" t="s">
        <v>409</v>
      </c>
      <c r="H15" s="17">
        <v>1158989</v>
      </c>
      <c r="I15" s="17" t="s">
        <v>410</v>
      </c>
      <c r="J15" s="19">
        <v>20</v>
      </c>
      <c r="K15" s="19">
        <v>20</v>
      </c>
      <c r="L15" s="19">
        <v>0</v>
      </c>
      <c r="M15" s="17"/>
      <c r="N15" s="17"/>
      <c r="O15" s="17"/>
    </row>
    <row r="16" spans="1:15" s="5" customFormat="1">
      <c r="A16" s="17" t="s">
        <v>417</v>
      </c>
      <c r="B16" s="17" t="s">
        <v>418</v>
      </c>
      <c r="C16" s="17" t="s">
        <v>402</v>
      </c>
      <c r="D16" s="17" t="s">
        <v>403</v>
      </c>
      <c r="E16" s="18">
        <v>45963</v>
      </c>
      <c r="F16" s="18">
        <v>45963</v>
      </c>
      <c r="G16" s="17" t="s">
        <v>411</v>
      </c>
      <c r="H16" s="17">
        <v>153787</v>
      </c>
      <c r="I16" s="17" t="s">
        <v>440</v>
      </c>
      <c r="J16" s="19">
        <v>79.41</v>
      </c>
      <c r="K16" s="19">
        <v>79.41</v>
      </c>
      <c r="L16" s="19">
        <v>0</v>
      </c>
      <c r="M16" s="20"/>
      <c r="N16" s="20"/>
      <c r="O16" s="20"/>
    </row>
    <row r="17" spans="1:15" s="5" customFormat="1">
      <c r="A17" s="20" t="s">
        <v>417</v>
      </c>
      <c r="B17" s="20" t="s">
        <v>418</v>
      </c>
      <c r="C17" s="20" t="s">
        <v>402</v>
      </c>
      <c r="D17" s="20" t="s">
        <v>403</v>
      </c>
      <c r="E17" s="21">
        <v>45963</v>
      </c>
      <c r="F17" s="21">
        <v>45963</v>
      </c>
      <c r="G17" s="20" t="s">
        <v>441</v>
      </c>
      <c r="H17" s="20">
        <v>384690</v>
      </c>
      <c r="I17" s="20" t="s">
        <v>442</v>
      </c>
      <c r="J17" s="22">
        <v>100</v>
      </c>
      <c r="K17" s="22">
        <v>100</v>
      </c>
      <c r="L17" s="22">
        <v>0</v>
      </c>
      <c r="M17" s="20"/>
      <c r="N17" s="20"/>
      <c r="O17" s="20"/>
    </row>
    <row r="18" spans="1:15">
      <c r="A18" s="20" t="s">
        <v>417</v>
      </c>
      <c r="B18" s="20" t="s">
        <v>418</v>
      </c>
      <c r="C18" s="20" t="s">
        <v>402</v>
      </c>
      <c r="D18" s="20" t="s">
        <v>403</v>
      </c>
      <c r="E18" s="21">
        <v>45972</v>
      </c>
      <c r="F18" s="21">
        <v>45972</v>
      </c>
      <c r="G18" s="20" t="s">
        <v>441</v>
      </c>
      <c r="H18" s="20">
        <v>971502</v>
      </c>
      <c r="I18" s="20" t="s">
        <v>442</v>
      </c>
      <c r="J18" s="22">
        <v>294</v>
      </c>
      <c r="K18" s="22">
        <v>294</v>
      </c>
      <c r="L18" s="22">
        <v>0</v>
      </c>
      <c r="M18" s="17"/>
      <c r="N18" s="17"/>
      <c r="O18" s="17"/>
    </row>
    <row r="19" spans="1:15">
      <c r="A19" s="20" t="s">
        <v>417</v>
      </c>
      <c r="B19" s="20" t="s">
        <v>418</v>
      </c>
      <c r="C19" s="20" t="s">
        <v>402</v>
      </c>
      <c r="D19" s="20" t="s">
        <v>403</v>
      </c>
      <c r="E19" s="21">
        <v>45963</v>
      </c>
      <c r="F19" s="21">
        <v>45963</v>
      </c>
      <c r="G19" s="20" t="s">
        <v>415</v>
      </c>
      <c r="H19" s="20">
        <v>152668</v>
      </c>
      <c r="I19" s="20" t="s">
        <v>416</v>
      </c>
      <c r="J19" s="22">
        <v>20</v>
      </c>
      <c r="K19" s="22">
        <v>20</v>
      </c>
      <c r="L19" s="22">
        <v>0</v>
      </c>
      <c r="M19" s="17"/>
      <c r="N19" s="17"/>
      <c r="O19" s="17"/>
    </row>
    <row r="20" spans="1:15">
      <c r="A20" s="20" t="s">
        <v>417</v>
      </c>
      <c r="B20" s="20" t="s">
        <v>418</v>
      </c>
      <c r="C20" s="20" t="s">
        <v>402</v>
      </c>
      <c r="D20" s="20" t="s">
        <v>403</v>
      </c>
      <c r="E20" s="21">
        <v>45970</v>
      </c>
      <c r="F20" s="21">
        <v>45970</v>
      </c>
      <c r="G20" s="20" t="s">
        <v>415</v>
      </c>
      <c r="H20" s="20">
        <v>152537</v>
      </c>
      <c r="I20" s="20" t="s">
        <v>416</v>
      </c>
      <c r="J20" s="22">
        <v>20</v>
      </c>
      <c r="K20" s="22">
        <v>20</v>
      </c>
      <c r="L20" s="22">
        <v>0</v>
      </c>
      <c r="M20" s="17"/>
      <c r="N20" s="17"/>
      <c r="O20" s="17"/>
    </row>
    <row r="21" spans="1:15" s="5" customFormat="1">
      <c r="A21" s="20" t="s">
        <v>417</v>
      </c>
      <c r="B21" s="20" t="s">
        <v>418</v>
      </c>
      <c r="C21" s="20" t="s">
        <v>402</v>
      </c>
      <c r="D21" s="20" t="s">
        <v>403</v>
      </c>
      <c r="E21" s="21">
        <v>45982</v>
      </c>
      <c r="F21" s="21">
        <v>45982</v>
      </c>
      <c r="G21" s="20" t="s">
        <v>415</v>
      </c>
      <c r="H21" s="20">
        <v>402962</v>
      </c>
      <c r="I21" s="20" t="s">
        <v>416</v>
      </c>
      <c r="J21" s="22">
        <v>20</v>
      </c>
      <c r="K21" s="22">
        <v>20</v>
      </c>
      <c r="L21" s="22">
        <v>0</v>
      </c>
      <c r="M21" s="20"/>
      <c r="N21" s="20"/>
      <c r="O21" s="20"/>
    </row>
    <row r="22" spans="1:15" s="5" customFormat="1">
      <c r="A22" s="20" t="s">
        <v>417</v>
      </c>
      <c r="B22" s="20" t="s">
        <v>418</v>
      </c>
      <c r="C22" s="20" t="s">
        <v>402</v>
      </c>
      <c r="D22" s="20" t="s">
        <v>403</v>
      </c>
      <c r="E22" s="21">
        <v>45990</v>
      </c>
      <c r="F22" s="21">
        <v>45990</v>
      </c>
      <c r="G22" s="20" t="s">
        <v>415</v>
      </c>
      <c r="H22" s="20">
        <v>113286</v>
      </c>
      <c r="I22" s="20" t="s">
        <v>416</v>
      </c>
      <c r="J22" s="22">
        <v>20</v>
      </c>
      <c r="K22" s="22">
        <v>20</v>
      </c>
      <c r="L22" s="22">
        <v>0</v>
      </c>
      <c r="M22" s="20"/>
      <c r="N22" s="20"/>
      <c r="O22" s="20"/>
    </row>
    <row r="23" spans="1:15" s="5" customFormat="1">
      <c r="A23" s="20" t="s">
        <v>417</v>
      </c>
      <c r="B23" s="20" t="s">
        <v>418</v>
      </c>
      <c r="C23" s="20" t="s">
        <v>402</v>
      </c>
      <c r="D23" s="20" t="s">
        <v>403</v>
      </c>
      <c r="E23" s="21">
        <v>45991</v>
      </c>
      <c r="F23" s="21">
        <v>45991</v>
      </c>
      <c r="G23" s="20" t="s">
        <v>415</v>
      </c>
      <c r="H23" s="20">
        <v>102679</v>
      </c>
      <c r="I23" s="20" t="s">
        <v>416</v>
      </c>
      <c r="J23" s="22">
        <v>20</v>
      </c>
      <c r="K23" s="22">
        <v>20</v>
      </c>
      <c r="L23" s="22">
        <v>0</v>
      </c>
      <c r="M23" s="20"/>
      <c r="N23" s="20"/>
      <c r="O23" s="20"/>
    </row>
    <row r="24" spans="1:15">
      <c r="A24" s="20" t="s">
        <v>417</v>
      </c>
      <c r="B24" s="20" t="s">
        <v>418</v>
      </c>
      <c r="C24" s="20" t="s">
        <v>402</v>
      </c>
      <c r="D24" s="20" t="s">
        <v>403</v>
      </c>
      <c r="E24" s="21">
        <v>45970</v>
      </c>
      <c r="F24" s="21">
        <v>45970</v>
      </c>
      <c r="G24" s="20" t="s">
        <v>443</v>
      </c>
      <c r="H24" s="20">
        <v>407700</v>
      </c>
      <c r="I24" s="20" t="s">
        <v>444</v>
      </c>
      <c r="J24" s="22">
        <v>80</v>
      </c>
      <c r="K24" s="22">
        <v>80</v>
      </c>
      <c r="L24" s="22">
        <v>0</v>
      </c>
      <c r="M24" s="17"/>
      <c r="N24" s="17"/>
      <c r="O24" s="17"/>
    </row>
    <row r="25" spans="1:15">
      <c r="A25" s="17" t="s">
        <v>417</v>
      </c>
      <c r="B25" s="17" t="s">
        <v>418</v>
      </c>
      <c r="C25" s="17" t="s">
        <v>402</v>
      </c>
      <c r="D25" s="17" t="s">
        <v>403</v>
      </c>
      <c r="E25" s="18">
        <v>45980</v>
      </c>
      <c r="F25" s="18">
        <v>45980</v>
      </c>
      <c r="G25" s="17" t="s">
        <v>445</v>
      </c>
      <c r="H25" s="17">
        <v>416933</v>
      </c>
      <c r="I25" s="17" t="s">
        <v>446</v>
      </c>
      <c r="J25" s="19">
        <v>35</v>
      </c>
      <c r="K25" s="19">
        <v>35</v>
      </c>
      <c r="L25" s="19">
        <v>0</v>
      </c>
      <c r="M25" s="17"/>
      <c r="N25" s="17"/>
      <c r="O25" s="17"/>
    </row>
    <row r="26" spans="1:15" s="5" customFormat="1">
      <c r="A26" s="17" t="s">
        <v>417</v>
      </c>
      <c r="B26" s="17" t="s">
        <v>418</v>
      </c>
      <c r="C26" s="17" t="s">
        <v>402</v>
      </c>
      <c r="D26" s="17" t="s">
        <v>403</v>
      </c>
      <c r="E26" s="18">
        <v>45981</v>
      </c>
      <c r="F26" s="18">
        <v>45980</v>
      </c>
      <c r="G26" s="17" t="s">
        <v>447</v>
      </c>
      <c r="H26" s="17">
        <v>421166</v>
      </c>
      <c r="I26" s="17" t="s">
        <v>448</v>
      </c>
      <c r="J26" s="19">
        <v>7</v>
      </c>
      <c r="K26" s="19">
        <v>7</v>
      </c>
      <c r="L26" s="19">
        <v>0</v>
      </c>
      <c r="M26" s="20"/>
      <c r="N26" s="20"/>
      <c r="O26" s="20"/>
    </row>
    <row r="27" spans="1:15" s="5" customFormat="1">
      <c r="A27" s="17" t="s">
        <v>417</v>
      </c>
      <c r="B27" s="17" t="s">
        <v>418</v>
      </c>
      <c r="C27" s="17" t="s">
        <v>402</v>
      </c>
      <c r="D27" s="17" t="s">
        <v>403</v>
      </c>
      <c r="E27" s="18">
        <v>45983</v>
      </c>
      <c r="F27" s="18">
        <v>45983</v>
      </c>
      <c r="G27" s="17" t="s">
        <v>413</v>
      </c>
      <c r="H27" s="17">
        <v>767258</v>
      </c>
      <c r="I27" s="17" t="s">
        <v>414</v>
      </c>
      <c r="J27" s="19">
        <v>40</v>
      </c>
      <c r="K27" s="19">
        <v>40</v>
      </c>
      <c r="L27" s="19">
        <v>0</v>
      </c>
      <c r="M27" s="20"/>
      <c r="N27" s="20"/>
      <c r="O27" s="20"/>
    </row>
    <row r="28" spans="1:15" s="5" customFormat="1">
      <c r="A28" s="17" t="s">
        <v>417</v>
      </c>
      <c r="B28" s="17" t="s">
        <v>418</v>
      </c>
      <c r="C28" s="17" t="s">
        <v>402</v>
      </c>
      <c r="D28" s="17" t="s">
        <v>403</v>
      </c>
      <c r="E28" s="18">
        <v>45965</v>
      </c>
      <c r="F28" s="18">
        <v>45965</v>
      </c>
      <c r="G28" s="17" t="s">
        <v>449</v>
      </c>
      <c r="H28" s="17">
        <v>366706</v>
      </c>
      <c r="I28" s="17" t="s">
        <v>450</v>
      </c>
      <c r="J28" s="19">
        <v>9.99</v>
      </c>
      <c r="K28" s="19">
        <v>9.99</v>
      </c>
      <c r="L28" s="19">
        <v>0</v>
      </c>
      <c r="M28" s="20"/>
      <c r="N28" s="20"/>
      <c r="O28" s="20"/>
    </row>
  </sheetData>
  <sortState xmlns:xlrd2="http://schemas.microsoft.com/office/spreadsheetml/2017/richdata2" ref="A2:L28">
    <sortCondition ref="G2:G2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1912C-A324-49B3-B94F-E24ACE1B7485}">
  <dimension ref="A1:O12"/>
  <sheetViews>
    <sheetView workbookViewId="0">
      <selection activeCell="A2" sqref="A2"/>
    </sheetView>
  </sheetViews>
  <sheetFormatPr defaultColWidth="8.85546875" defaultRowHeight="15"/>
  <cols>
    <col min="1" max="1" width="20.42578125" customWidth="1"/>
    <col min="2" max="2" width="25.140625" customWidth="1"/>
    <col min="3" max="4" width="27.85546875" customWidth="1"/>
    <col min="5" max="5" width="21.42578125" customWidth="1"/>
    <col min="6" max="6" width="18.42578125" customWidth="1"/>
    <col min="7" max="7" width="27.28515625" customWidth="1"/>
    <col min="8" max="8" width="15" customWidth="1"/>
    <col min="9" max="9" width="40.28515625" customWidth="1"/>
    <col min="10" max="10" width="18" customWidth="1"/>
    <col min="11" max="11" width="18.42578125" customWidth="1"/>
    <col min="12" max="12" width="17.7109375" customWidth="1"/>
  </cols>
  <sheetData>
    <row r="1" spans="1:15">
      <c r="A1" s="15" t="s">
        <v>388</v>
      </c>
      <c r="B1" s="15" t="s">
        <v>389</v>
      </c>
      <c r="C1" s="15" t="s">
        <v>390</v>
      </c>
      <c r="D1" s="15" t="s">
        <v>391</v>
      </c>
      <c r="E1" s="15" t="s">
        <v>392</v>
      </c>
      <c r="F1" s="15" t="s">
        <v>393</v>
      </c>
      <c r="G1" s="15" t="s">
        <v>394</v>
      </c>
      <c r="H1" s="15" t="s">
        <v>395</v>
      </c>
      <c r="I1" s="15" t="s">
        <v>396</v>
      </c>
      <c r="J1" s="16" t="s">
        <v>397</v>
      </c>
      <c r="K1" s="16" t="s">
        <v>398</v>
      </c>
      <c r="L1" s="16" t="s">
        <v>399</v>
      </c>
      <c r="M1" s="15"/>
      <c r="N1" s="15"/>
      <c r="O1" s="15"/>
    </row>
    <row r="2" spans="1:15" s="5" customFormat="1">
      <c r="A2" s="20" t="s">
        <v>451</v>
      </c>
      <c r="B2" s="20" t="s">
        <v>452</v>
      </c>
      <c r="C2" s="20" t="s">
        <v>402</v>
      </c>
      <c r="D2" s="20" t="s">
        <v>403</v>
      </c>
      <c r="E2" s="21">
        <v>45964</v>
      </c>
      <c r="F2" s="21">
        <v>45964</v>
      </c>
      <c r="G2" s="20" t="s">
        <v>453</v>
      </c>
      <c r="H2" s="20">
        <v>547602</v>
      </c>
      <c r="I2" s="20" t="s">
        <v>454</v>
      </c>
      <c r="J2" s="22">
        <v>129.9</v>
      </c>
      <c r="K2" s="22">
        <v>129.9</v>
      </c>
      <c r="L2" s="22">
        <v>0</v>
      </c>
      <c r="M2" s="20"/>
      <c r="N2" s="20"/>
      <c r="O2" s="20"/>
    </row>
    <row r="3" spans="1:15">
      <c r="A3" s="17" t="s">
        <v>451</v>
      </c>
      <c r="B3" s="17" t="s">
        <v>452</v>
      </c>
      <c r="C3" s="17" t="s">
        <v>402</v>
      </c>
      <c r="D3" s="17" t="s">
        <v>403</v>
      </c>
      <c r="E3" s="18">
        <v>45965</v>
      </c>
      <c r="F3" s="18">
        <v>45964</v>
      </c>
      <c r="G3" s="17" t="s">
        <v>455</v>
      </c>
      <c r="H3" s="17">
        <v>492873</v>
      </c>
      <c r="I3" s="17" t="s">
        <v>456</v>
      </c>
      <c r="J3" s="19">
        <v>1673</v>
      </c>
      <c r="K3" s="19">
        <v>1673</v>
      </c>
      <c r="L3" s="19">
        <v>0</v>
      </c>
      <c r="M3" s="17"/>
      <c r="N3" s="17"/>
      <c r="O3" s="17"/>
    </row>
    <row r="4" spans="1:15">
      <c r="A4" s="17" t="s">
        <v>451</v>
      </c>
      <c r="B4" s="17" t="s">
        <v>452</v>
      </c>
      <c r="C4" s="17" t="s">
        <v>402</v>
      </c>
      <c r="D4" s="17" t="s">
        <v>403</v>
      </c>
      <c r="E4" s="18">
        <v>45966</v>
      </c>
      <c r="F4" s="18">
        <v>45966</v>
      </c>
      <c r="G4" s="17" t="s">
        <v>457</v>
      </c>
      <c r="H4" s="17">
        <v>578069</v>
      </c>
      <c r="I4" s="17" t="s">
        <v>458</v>
      </c>
      <c r="J4" s="19">
        <v>742</v>
      </c>
      <c r="K4" s="19">
        <v>742</v>
      </c>
      <c r="L4" s="19">
        <v>0</v>
      </c>
      <c r="M4" s="17"/>
      <c r="N4" s="17"/>
      <c r="O4" s="17"/>
    </row>
    <row r="5" spans="1:15">
      <c r="A5" s="17" t="s">
        <v>451</v>
      </c>
      <c r="B5" s="17" t="s">
        <v>452</v>
      </c>
      <c r="C5" s="17" t="s">
        <v>402</v>
      </c>
      <c r="D5" s="17" t="s">
        <v>403</v>
      </c>
      <c r="E5" s="18">
        <v>45967</v>
      </c>
      <c r="F5" s="18">
        <v>45967</v>
      </c>
      <c r="G5" s="17" t="s">
        <v>455</v>
      </c>
      <c r="H5" s="17">
        <v>572915</v>
      </c>
      <c r="I5" s="17" t="s">
        <v>459</v>
      </c>
      <c r="J5" s="19">
        <v>-16.73</v>
      </c>
      <c r="K5" s="19">
        <v>0</v>
      </c>
      <c r="L5" s="19">
        <v>-16.73</v>
      </c>
      <c r="M5" s="17"/>
      <c r="N5" s="17"/>
      <c r="O5" s="17"/>
    </row>
    <row r="6" spans="1:15">
      <c r="A6" s="17" t="s">
        <v>451</v>
      </c>
      <c r="B6" s="17" t="s">
        <v>452</v>
      </c>
      <c r="C6" s="17" t="s">
        <v>402</v>
      </c>
      <c r="D6" s="17" t="s">
        <v>403</v>
      </c>
      <c r="E6" s="18">
        <v>45972</v>
      </c>
      <c r="F6" s="18">
        <v>45972</v>
      </c>
      <c r="G6" s="17" t="s">
        <v>460</v>
      </c>
      <c r="H6" s="17">
        <v>482516</v>
      </c>
      <c r="I6" s="17" t="s">
        <v>461</v>
      </c>
      <c r="J6" s="19">
        <v>2043.23</v>
      </c>
      <c r="K6" s="19">
        <v>2043.23</v>
      </c>
      <c r="L6" s="19">
        <v>0</v>
      </c>
      <c r="M6" s="17"/>
      <c r="N6" s="17"/>
      <c r="O6" s="17"/>
    </row>
    <row r="7" spans="1:15">
      <c r="A7" s="17" t="s">
        <v>451</v>
      </c>
      <c r="B7" s="17" t="s">
        <v>452</v>
      </c>
      <c r="C7" s="17" t="s">
        <v>402</v>
      </c>
      <c r="D7" s="17" t="s">
        <v>403</v>
      </c>
      <c r="E7" s="18">
        <v>45975</v>
      </c>
      <c r="F7" s="18">
        <v>45974</v>
      </c>
      <c r="G7" s="17" t="s">
        <v>462</v>
      </c>
      <c r="H7" s="17">
        <v>571140</v>
      </c>
      <c r="I7" s="17" t="s">
        <v>463</v>
      </c>
      <c r="J7" s="19">
        <v>72.099999999999994</v>
      </c>
      <c r="K7" s="19">
        <v>72.099999999999994</v>
      </c>
      <c r="L7" s="19">
        <v>0</v>
      </c>
      <c r="M7" s="17"/>
      <c r="N7" s="17"/>
      <c r="O7" s="17"/>
    </row>
    <row r="8" spans="1:15">
      <c r="A8" s="17" t="s">
        <v>451</v>
      </c>
      <c r="B8" s="17" t="s">
        <v>452</v>
      </c>
      <c r="C8" s="17" t="s">
        <v>402</v>
      </c>
      <c r="D8" s="17" t="s">
        <v>403</v>
      </c>
      <c r="E8" s="18">
        <v>45976</v>
      </c>
      <c r="F8" s="18">
        <v>45975</v>
      </c>
      <c r="G8" s="17" t="s">
        <v>464</v>
      </c>
      <c r="H8" s="17">
        <v>419109</v>
      </c>
      <c r="I8" s="17" t="s">
        <v>465</v>
      </c>
      <c r="J8" s="19">
        <v>8.57</v>
      </c>
      <c r="K8" s="19">
        <v>8.57</v>
      </c>
      <c r="L8" s="19">
        <v>0</v>
      </c>
      <c r="M8" s="17"/>
      <c r="N8" s="17"/>
      <c r="O8" s="17"/>
    </row>
    <row r="9" spans="1:15">
      <c r="A9" s="17" t="s">
        <v>451</v>
      </c>
      <c r="B9" s="17" t="s">
        <v>452</v>
      </c>
      <c r="C9" s="17" t="s">
        <v>402</v>
      </c>
      <c r="D9" s="17" t="s">
        <v>403</v>
      </c>
      <c r="E9" s="18">
        <v>45977</v>
      </c>
      <c r="F9" s="18">
        <v>45975</v>
      </c>
      <c r="G9" s="17" t="s">
        <v>455</v>
      </c>
      <c r="H9" s="17">
        <v>393966</v>
      </c>
      <c r="I9" s="17" t="s">
        <v>466</v>
      </c>
      <c r="J9" s="19">
        <v>1873</v>
      </c>
      <c r="K9" s="19">
        <v>1873</v>
      </c>
      <c r="L9" s="19">
        <v>0</v>
      </c>
      <c r="M9" s="17"/>
      <c r="N9" s="17"/>
      <c r="O9" s="17"/>
    </row>
    <row r="10" spans="1:15">
      <c r="A10" s="17" t="s">
        <v>451</v>
      </c>
      <c r="B10" s="17" t="s">
        <v>452</v>
      </c>
      <c r="C10" s="17" t="s">
        <v>402</v>
      </c>
      <c r="D10" s="17" t="s">
        <v>403</v>
      </c>
      <c r="E10" s="18">
        <v>45978</v>
      </c>
      <c r="F10" s="18">
        <v>45976</v>
      </c>
      <c r="G10" s="17" t="s">
        <v>462</v>
      </c>
      <c r="H10" s="17">
        <v>254374</v>
      </c>
      <c r="I10" s="17" t="s">
        <v>467</v>
      </c>
      <c r="J10" s="19">
        <v>415.8</v>
      </c>
      <c r="K10" s="19">
        <v>415.8</v>
      </c>
      <c r="L10" s="19">
        <v>0</v>
      </c>
      <c r="M10" s="17"/>
      <c r="N10" s="17"/>
      <c r="O10" s="17"/>
    </row>
    <row r="11" spans="1:15">
      <c r="A11" s="17" t="s">
        <v>451</v>
      </c>
      <c r="B11" s="17" t="s">
        <v>452</v>
      </c>
      <c r="C11" s="17" t="s">
        <v>402</v>
      </c>
      <c r="D11" s="17" t="s">
        <v>403</v>
      </c>
      <c r="E11" s="18">
        <v>45986</v>
      </c>
      <c r="F11" s="18">
        <v>45985</v>
      </c>
      <c r="G11" s="17" t="s">
        <v>468</v>
      </c>
      <c r="H11" s="17">
        <v>348542</v>
      </c>
      <c r="I11" s="17" t="s">
        <v>469</v>
      </c>
      <c r="J11" s="19">
        <v>2141.42</v>
      </c>
      <c r="K11" s="19">
        <v>2141.42</v>
      </c>
      <c r="L11" s="19">
        <v>0</v>
      </c>
      <c r="M11" s="17"/>
      <c r="N11" s="17"/>
      <c r="O11" s="17"/>
    </row>
    <row r="12" spans="1:15">
      <c r="A12" s="17" t="s">
        <v>451</v>
      </c>
      <c r="B12" s="17" t="s">
        <v>452</v>
      </c>
      <c r="C12" s="17" t="s">
        <v>402</v>
      </c>
      <c r="D12" s="17" t="s">
        <v>403</v>
      </c>
      <c r="E12" s="18">
        <v>45988</v>
      </c>
      <c r="F12" s="18">
        <v>45987</v>
      </c>
      <c r="G12" s="17" t="s">
        <v>470</v>
      </c>
      <c r="H12" s="17">
        <v>255195</v>
      </c>
      <c r="I12" s="17" t="s">
        <v>471</v>
      </c>
      <c r="J12" s="19">
        <v>66.7</v>
      </c>
      <c r="K12" s="19">
        <v>66.7</v>
      </c>
      <c r="L12" s="19">
        <v>0</v>
      </c>
      <c r="M12" s="17"/>
      <c r="N12" s="17"/>
      <c r="O12" s="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4FA3A-8E61-4C2B-BFA1-FCD27EE508F9}">
  <dimension ref="A1:O33"/>
  <sheetViews>
    <sheetView workbookViewId="0">
      <selection activeCell="A29" sqref="A29"/>
    </sheetView>
  </sheetViews>
  <sheetFormatPr defaultColWidth="8.85546875" defaultRowHeight="15"/>
  <cols>
    <col min="1" max="1" width="20.42578125" customWidth="1"/>
    <col min="2" max="2" width="25.140625" customWidth="1"/>
    <col min="3" max="4" width="27.85546875" customWidth="1"/>
    <col min="5" max="5" width="21.42578125" customWidth="1"/>
    <col min="6" max="6" width="18.42578125" customWidth="1"/>
    <col min="7" max="7" width="27.28515625" customWidth="1"/>
    <col min="8" max="8" width="15" customWidth="1"/>
    <col min="9" max="9" width="40.28515625" customWidth="1"/>
    <col min="10" max="10" width="18" customWidth="1"/>
    <col min="11" max="11" width="18.42578125" customWidth="1"/>
    <col min="12" max="12" width="17.7109375" customWidth="1"/>
  </cols>
  <sheetData>
    <row r="1" spans="1:15">
      <c r="A1" s="15" t="s">
        <v>388</v>
      </c>
      <c r="B1" s="15" t="s">
        <v>389</v>
      </c>
      <c r="C1" s="15" t="s">
        <v>390</v>
      </c>
      <c r="D1" s="15" t="s">
        <v>391</v>
      </c>
      <c r="E1" s="15" t="s">
        <v>392</v>
      </c>
      <c r="F1" s="15" t="s">
        <v>393</v>
      </c>
      <c r="G1" s="15" t="s">
        <v>394</v>
      </c>
      <c r="H1" s="15" t="s">
        <v>395</v>
      </c>
      <c r="I1" s="15" t="s">
        <v>396</v>
      </c>
      <c r="J1" s="16" t="s">
        <v>397</v>
      </c>
      <c r="K1" s="16" t="s">
        <v>398</v>
      </c>
      <c r="L1" s="16" t="s">
        <v>399</v>
      </c>
      <c r="M1" s="15"/>
      <c r="N1" s="15"/>
      <c r="O1" s="15"/>
    </row>
    <row r="2" spans="1:15">
      <c r="A2" s="17" t="s">
        <v>472</v>
      </c>
      <c r="B2" s="17" t="s">
        <v>473</v>
      </c>
      <c r="C2" s="17" t="s">
        <v>402</v>
      </c>
      <c r="D2" s="17" t="s">
        <v>403</v>
      </c>
      <c r="E2" s="18">
        <v>45965</v>
      </c>
      <c r="F2" s="18">
        <v>45965</v>
      </c>
      <c r="G2" s="17" t="s">
        <v>474</v>
      </c>
      <c r="H2" s="17">
        <v>542261</v>
      </c>
      <c r="I2" s="17" t="s">
        <v>475</v>
      </c>
      <c r="J2" s="19">
        <v>244.29</v>
      </c>
      <c r="K2" s="19">
        <v>244.29</v>
      </c>
      <c r="L2" s="19">
        <v>0</v>
      </c>
      <c r="M2" s="17"/>
      <c r="N2" s="17"/>
      <c r="O2" s="17"/>
    </row>
    <row r="3" spans="1:15">
      <c r="A3" s="17" t="s">
        <v>472</v>
      </c>
      <c r="B3" s="17" t="s">
        <v>473</v>
      </c>
      <c r="C3" s="17" t="s">
        <v>402</v>
      </c>
      <c r="D3" s="17" t="s">
        <v>403</v>
      </c>
      <c r="E3" s="18">
        <v>45966</v>
      </c>
      <c r="F3" s="18">
        <v>45966</v>
      </c>
      <c r="G3" s="17" t="s">
        <v>474</v>
      </c>
      <c r="H3" s="17">
        <v>634805</v>
      </c>
      <c r="I3" s="17" t="s">
        <v>475</v>
      </c>
      <c r="J3" s="19">
        <v>299.12</v>
      </c>
      <c r="K3" s="19">
        <v>299.12</v>
      </c>
      <c r="L3" s="19">
        <v>0</v>
      </c>
      <c r="M3" s="17"/>
      <c r="N3" s="17"/>
      <c r="O3" s="17"/>
    </row>
    <row r="4" spans="1:15">
      <c r="A4" s="17" t="s">
        <v>472</v>
      </c>
      <c r="B4" s="17" t="s">
        <v>473</v>
      </c>
      <c r="C4" s="17" t="s">
        <v>402</v>
      </c>
      <c r="D4" s="17" t="s">
        <v>403</v>
      </c>
      <c r="E4" s="18">
        <v>45968</v>
      </c>
      <c r="F4" s="18">
        <v>45968</v>
      </c>
      <c r="G4" s="17" t="s">
        <v>476</v>
      </c>
      <c r="H4" s="17">
        <v>653730</v>
      </c>
      <c r="I4" s="17" t="s">
        <v>477</v>
      </c>
      <c r="J4" s="19">
        <v>14.75</v>
      </c>
      <c r="K4" s="19">
        <v>14.75</v>
      </c>
      <c r="L4" s="19">
        <v>0</v>
      </c>
      <c r="M4" s="17"/>
      <c r="N4" s="17"/>
      <c r="O4" s="17"/>
    </row>
    <row r="5" spans="1:15">
      <c r="A5" s="17" t="s">
        <v>472</v>
      </c>
      <c r="B5" s="17" t="s">
        <v>473</v>
      </c>
      <c r="C5" s="17" t="s">
        <v>402</v>
      </c>
      <c r="D5" s="17" t="s">
        <v>403</v>
      </c>
      <c r="E5" s="18">
        <v>45968</v>
      </c>
      <c r="F5" s="18">
        <v>45968</v>
      </c>
      <c r="G5" s="17" t="s">
        <v>478</v>
      </c>
      <c r="H5" s="17">
        <v>656077</v>
      </c>
      <c r="I5" s="17" t="s">
        <v>479</v>
      </c>
      <c r="J5" s="19">
        <v>834.73</v>
      </c>
      <c r="K5" s="19">
        <v>834.73</v>
      </c>
      <c r="L5" s="19">
        <v>0</v>
      </c>
      <c r="M5" s="17"/>
      <c r="N5" s="17"/>
      <c r="O5" s="17"/>
    </row>
    <row r="6" spans="1:15">
      <c r="A6" s="17" t="s">
        <v>472</v>
      </c>
      <c r="B6" s="17" t="s">
        <v>473</v>
      </c>
      <c r="C6" s="17" t="s">
        <v>402</v>
      </c>
      <c r="D6" s="17" t="s">
        <v>403</v>
      </c>
      <c r="E6" s="18">
        <v>45969</v>
      </c>
      <c r="F6" s="18">
        <v>45968</v>
      </c>
      <c r="G6" s="17" t="s">
        <v>480</v>
      </c>
      <c r="H6" s="17">
        <v>465730</v>
      </c>
      <c r="I6" s="17" t="s">
        <v>481</v>
      </c>
      <c r="J6" s="19">
        <v>672.8</v>
      </c>
      <c r="K6" s="19">
        <v>672.8</v>
      </c>
      <c r="L6" s="19">
        <v>0</v>
      </c>
      <c r="M6" s="17"/>
      <c r="N6" s="17"/>
      <c r="O6" s="17"/>
    </row>
    <row r="7" spans="1:15">
      <c r="A7" s="17" t="s">
        <v>472</v>
      </c>
      <c r="B7" s="17" t="s">
        <v>473</v>
      </c>
      <c r="C7" s="17" t="s">
        <v>402</v>
      </c>
      <c r="D7" s="17" t="s">
        <v>403</v>
      </c>
      <c r="E7" s="18">
        <v>45969</v>
      </c>
      <c r="F7" s="18">
        <v>45968</v>
      </c>
      <c r="G7" s="17" t="s">
        <v>480</v>
      </c>
      <c r="H7" s="17">
        <v>465731</v>
      </c>
      <c r="I7" s="17" t="s">
        <v>482</v>
      </c>
      <c r="J7" s="19">
        <v>200</v>
      </c>
      <c r="K7" s="19">
        <v>200</v>
      </c>
      <c r="L7" s="19">
        <v>0</v>
      </c>
      <c r="M7" s="17"/>
      <c r="N7" s="17"/>
      <c r="O7" s="17"/>
    </row>
    <row r="8" spans="1:15">
      <c r="A8" s="17" t="s">
        <v>472</v>
      </c>
      <c r="B8" s="17" t="s">
        <v>473</v>
      </c>
      <c r="C8" s="17" t="s">
        <v>402</v>
      </c>
      <c r="D8" s="17" t="s">
        <v>403</v>
      </c>
      <c r="E8" s="18">
        <v>45970</v>
      </c>
      <c r="F8" s="18">
        <v>45970</v>
      </c>
      <c r="G8" s="17" t="s">
        <v>476</v>
      </c>
      <c r="H8" s="17">
        <v>221039</v>
      </c>
      <c r="I8" s="17" t="s">
        <v>483</v>
      </c>
      <c r="J8" s="19">
        <v>77.11</v>
      </c>
      <c r="K8" s="19">
        <v>77.11</v>
      </c>
      <c r="L8" s="19">
        <v>0</v>
      </c>
      <c r="M8" s="17"/>
      <c r="N8" s="17"/>
      <c r="O8" s="17"/>
    </row>
    <row r="9" spans="1:15">
      <c r="A9" s="17" t="s">
        <v>472</v>
      </c>
      <c r="B9" s="17" t="s">
        <v>473</v>
      </c>
      <c r="C9" s="17" t="s">
        <v>402</v>
      </c>
      <c r="D9" s="17" t="s">
        <v>403</v>
      </c>
      <c r="E9" s="18">
        <v>45970</v>
      </c>
      <c r="F9" s="18">
        <v>45970</v>
      </c>
      <c r="G9" s="17" t="s">
        <v>476</v>
      </c>
      <c r="H9" s="17">
        <v>221040</v>
      </c>
      <c r="I9" s="17" t="s">
        <v>484</v>
      </c>
      <c r="J9" s="19">
        <v>27.09</v>
      </c>
      <c r="K9" s="19">
        <v>27.09</v>
      </c>
      <c r="L9" s="19">
        <v>0</v>
      </c>
      <c r="M9" s="17"/>
      <c r="N9" s="17"/>
      <c r="O9" s="17"/>
    </row>
    <row r="10" spans="1:15">
      <c r="A10" s="17" t="s">
        <v>472</v>
      </c>
      <c r="B10" s="17" t="s">
        <v>473</v>
      </c>
      <c r="C10" s="17" t="s">
        <v>402</v>
      </c>
      <c r="D10" s="17" t="s">
        <v>403</v>
      </c>
      <c r="E10" s="18">
        <v>45970</v>
      </c>
      <c r="F10" s="18">
        <v>45970</v>
      </c>
      <c r="G10" s="17" t="s">
        <v>476</v>
      </c>
      <c r="H10" s="17">
        <v>221044</v>
      </c>
      <c r="I10" s="17" t="s">
        <v>485</v>
      </c>
      <c r="J10" s="19">
        <v>14.75</v>
      </c>
      <c r="K10" s="19">
        <v>14.75</v>
      </c>
      <c r="L10" s="19">
        <v>0</v>
      </c>
      <c r="M10" s="17"/>
      <c r="N10" s="17"/>
      <c r="O10" s="17"/>
    </row>
    <row r="11" spans="1:15">
      <c r="A11" s="17" t="s">
        <v>472</v>
      </c>
      <c r="B11" s="17" t="s">
        <v>473</v>
      </c>
      <c r="C11" s="17" t="s">
        <v>402</v>
      </c>
      <c r="D11" s="17" t="s">
        <v>403</v>
      </c>
      <c r="E11" s="18">
        <v>45972</v>
      </c>
      <c r="F11" s="18">
        <v>45972</v>
      </c>
      <c r="G11" s="17" t="s">
        <v>474</v>
      </c>
      <c r="H11" s="17">
        <v>528986</v>
      </c>
      <c r="I11" s="17" t="s">
        <v>486</v>
      </c>
      <c r="J11" s="19">
        <v>316.20999999999998</v>
      </c>
      <c r="K11" s="19">
        <v>316.20999999999998</v>
      </c>
      <c r="L11" s="19">
        <v>0</v>
      </c>
      <c r="M11" s="17"/>
      <c r="N11" s="17"/>
      <c r="O11" s="17"/>
    </row>
    <row r="12" spans="1:15">
      <c r="A12" s="17" t="s">
        <v>472</v>
      </c>
      <c r="B12" s="17" t="s">
        <v>473</v>
      </c>
      <c r="C12" s="17" t="s">
        <v>402</v>
      </c>
      <c r="D12" s="17" t="s">
        <v>403</v>
      </c>
      <c r="E12" s="18">
        <v>45972</v>
      </c>
      <c r="F12" s="18">
        <v>45972</v>
      </c>
      <c r="G12" s="17" t="s">
        <v>474</v>
      </c>
      <c r="H12" s="17">
        <v>533459</v>
      </c>
      <c r="I12" s="17" t="s">
        <v>486</v>
      </c>
      <c r="J12" s="19">
        <v>79.22</v>
      </c>
      <c r="K12" s="19">
        <v>79.22</v>
      </c>
      <c r="L12" s="19">
        <v>0</v>
      </c>
      <c r="M12" s="17"/>
      <c r="N12" s="17"/>
      <c r="O12" s="17"/>
    </row>
    <row r="13" spans="1:15">
      <c r="A13" s="17" t="s">
        <v>472</v>
      </c>
      <c r="B13" s="17" t="s">
        <v>473</v>
      </c>
      <c r="C13" s="17" t="s">
        <v>402</v>
      </c>
      <c r="D13" s="17" t="s">
        <v>403</v>
      </c>
      <c r="E13" s="18">
        <v>45973</v>
      </c>
      <c r="F13" s="18">
        <v>45973</v>
      </c>
      <c r="G13" s="17" t="s">
        <v>474</v>
      </c>
      <c r="H13" s="17">
        <v>583469</v>
      </c>
      <c r="I13" s="17" t="s">
        <v>486</v>
      </c>
      <c r="J13" s="19">
        <v>49.38</v>
      </c>
      <c r="K13" s="19">
        <v>49.38</v>
      </c>
      <c r="L13" s="19">
        <v>0</v>
      </c>
      <c r="M13" s="17"/>
      <c r="N13" s="17"/>
      <c r="O13" s="17"/>
    </row>
    <row r="14" spans="1:15">
      <c r="A14" s="17" t="s">
        <v>472</v>
      </c>
      <c r="B14" s="17" t="s">
        <v>473</v>
      </c>
      <c r="C14" s="17" t="s">
        <v>402</v>
      </c>
      <c r="D14" s="17" t="s">
        <v>403</v>
      </c>
      <c r="E14" s="18">
        <v>45974</v>
      </c>
      <c r="F14" s="18">
        <v>45972</v>
      </c>
      <c r="G14" s="17" t="s">
        <v>462</v>
      </c>
      <c r="H14" s="17">
        <v>641696</v>
      </c>
      <c r="I14" s="17" t="s">
        <v>487</v>
      </c>
      <c r="J14" s="19">
        <v>259.11</v>
      </c>
      <c r="K14" s="19">
        <v>259.11</v>
      </c>
      <c r="L14" s="19">
        <v>0</v>
      </c>
      <c r="M14" s="17"/>
      <c r="N14" s="17"/>
      <c r="O14" s="17"/>
    </row>
    <row r="15" spans="1:15" s="5" customFormat="1">
      <c r="A15" s="20" t="s">
        <v>472</v>
      </c>
      <c r="B15" s="20" t="s">
        <v>473</v>
      </c>
      <c r="C15" s="20" t="s">
        <v>402</v>
      </c>
      <c r="D15" s="20" t="s">
        <v>403</v>
      </c>
      <c r="E15" s="21">
        <v>45974</v>
      </c>
      <c r="F15" s="21">
        <v>45973</v>
      </c>
      <c r="G15" s="20" t="s">
        <v>488</v>
      </c>
      <c r="H15" s="20">
        <v>645542</v>
      </c>
      <c r="I15" s="20" t="s">
        <v>489</v>
      </c>
      <c r="J15" s="22">
        <v>360</v>
      </c>
      <c r="K15" s="22">
        <v>360</v>
      </c>
      <c r="L15" s="22">
        <v>0</v>
      </c>
      <c r="M15" s="20"/>
      <c r="N15" s="20"/>
      <c r="O15" s="20"/>
    </row>
    <row r="16" spans="1:15">
      <c r="A16" s="17" t="s">
        <v>472</v>
      </c>
      <c r="B16" s="17" t="s">
        <v>473</v>
      </c>
      <c r="C16" s="17" t="s">
        <v>402</v>
      </c>
      <c r="D16" s="17" t="s">
        <v>403</v>
      </c>
      <c r="E16" s="18">
        <v>45974</v>
      </c>
      <c r="F16" s="18">
        <v>45974</v>
      </c>
      <c r="G16" s="17" t="s">
        <v>476</v>
      </c>
      <c r="H16" s="17">
        <v>638960</v>
      </c>
      <c r="I16" s="17" t="s">
        <v>490</v>
      </c>
      <c r="J16" s="19">
        <v>103.55</v>
      </c>
      <c r="K16" s="19">
        <v>103.55</v>
      </c>
      <c r="L16" s="19">
        <v>0</v>
      </c>
      <c r="M16" s="17"/>
      <c r="N16" s="17"/>
      <c r="O16" s="17"/>
    </row>
    <row r="17" spans="1:15">
      <c r="A17" s="17" t="s">
        <v>472</v>
      </c>
      <c r="B17" s="17" t="s">
        <v>473</v>
      </c>
      <c r="C17" s="17" t="s">
        <v>402</v>
      </c>
      <c r="D17" s="17" t="s">
        <v>403</v>
      </c>
      <c r="E17" s="18">
        <v>45974</v>
      </c>
      <c r="F17" s="18">
        <v>45974</v>
      </c>
      <c r="G17" s="17" t="s">
        <v>476</v>
      </c>
      <c r="H17" s="17">
        <v>638962</v>
      </c>
      <c r="I17" s="17" t="s">
        <v>491</v>
      </c>
      <c r="J17" s="19">
        <v>14.75</v>
      </c>
      <c r="K17" s="19">
        <v>14.75</v>
      </c>
      <c r="L17" s="19">
        <v>0</v>
      </c>
      <c r="M17" s="17"/>
      <c r="N17" s="17"/>
      <c r="O17" s="17"/>
    </row>
    <row r="18" spans="1:15">
      <c r="A18" s="17" t="s">
        <v>472</v>
      </c>
      <c r="B18" s="17" t="s">
        <v>473</v>
      </c>
      <c r="C18" s="17" t="s">
        <v>402</v>
      </c>
      <c r="D18" s="17" t="s">
        <v>403</v>
      </c>
      <c r="E18" s="18">
        <v>45975</v>
      </c>
      <c r="F18" s="18">
        <v>45975</v>
      </c>
      <c r="G18" s="17" t="s">
        <v>476</v>
      </c>
      <c r="H18" s="17">
        <v>632447</v>
      </c>
      <c r="I18" s="17" t="s">
        <v>492</v>
      </c>
      <c r="J18" s="19">
        <v>69.319999999999993</v>
      </c>
      <c r="K18" s="19">
        <v>69.319999999999993</v>
      </c>
      <c r="L18" s="19">
        <v>0</v>
      </c>
      <c r="M18" s="17"/>
      <c r="N18" s="17"/>
      <c r="O18" s="17"/>
    </row>
    <row r="19" spans="1:15">
      <c r="A19" s="17" t="s">
        <v>472</v>
      </c>
      <c r="B19" s="17" t="s">
        <v>473</v>
      </c>
      <c r="C19" s="17" t="s">
        <v>402</v>
      </c>
      <c r="D19" s="17" t="s">
        <v>403</v>
      </c>
      <c r="E19" s="18">
        <v>45975</v>
      </c>
      <c r="F19" s="18">
        <v>45975</v>
      </c>
      <c r="G19" s="17" t="s">
        <v>476</v>
      </c>
      <c r="H19" s="17">
        <v>632450</v>
      </c>
      <c r="I19" s="17" t="s">
        <v>493</v>
      </c>
      <c r="J19" s="19">
        <v>14.75</v>
      </c>
      <c r="K19" s="19">
        <v>14.75</v>
      </c>
      <c r="L19" s="19">
        <v>0</v>
      </c>
      <c r="M19" s="17"/>
      <c r="N19" s="17"/>
      <c r="O19" s="17"/>
    </row>
    <row r="20" spans="1:15">
      <c r="A20" s="17" t="s">
        <v>472</v>
      </c>
      <c r="B20" s="17" t="s">
        <v>473</v>
      </c>
      <c r="C20" s="17" t="s">
        <v>402</v>
      </c>
      <c r="D20" s="17" t="s">
        <v>403</v>
      </c>
      <c r="E20" s="18">
        <v>45977</v>
      </c>
      <c r="F20" s="18">
        <v>45977</v>
      </c>
      <c r="G20" s="17" t="s">
        <v>476</v>
      </c>
      <c r="H20" s="17">
        <v>208236</v>
      </c>
      <c r="I20" s="17" t="s">
        <v>494</v>
      </c>
      <c r="J20" s="19">
        <v>29.56</v>
      </c>
      <c r="K20" s="19">
        <v>29.56</v>
      </c>
      <c r="L20" s="19">
        <v>0</v>
      </c>
      <c r="M20" s="17"/>
      <c r="N20" s="17"/>
      <c r="O20" s="17"/>
    </row>
    <row r="21" spans="1:15">
      <c r="A21" s="17" t="s">
        <v>472</v>
      </c>
      <c r="B21" s="17" t="s">
        <v>473</v>
      </c>
      <c r="C21" s="17" t="s">
        <v>402</v>
      </c>
      <c r="D21" s="17" t="s">
        <v>403</v>
      </c>
      <c r="E21" s="18">
        <v>45978</v>
      </c>
      <c r="F21" s="18">
        <v>45978</v>
      </c>
      <c r="G21" s="17" t="s">
        <v>474</v>
      </c>
      <c r="H21" s="17">
        <v>279639</v>
      </c>
      <c r="I21" s="17" t="s">
        <v>475</v>
      </c>
      <c r="J21" s="19">
        <v>397.15</v>
      </c>
      <c r="K21" s="19">
        <v>397.15</v>
      </c>
      <c r="L21" s="19">
        <v>0</v>
      </c>
      <c r="M21" s="17"/>
      <c r="N21" s="17"/>
      <c r="O21" s="17"/>
    </row>
    <row r="22" spans="1:15">
      <c r="A22" s="17" t="s">
        <v>472</v>
      </c>
      <c r="B22" s="17" t="s">
        <v>473</v>
      </c>
      <c r="C22" s="17" t="s">
        <v>402</v>
      </c>
      <c r="D22" s="17" t="s">
        <v>403</v>
      </c>
      <c r="E22" s="18">
        <v>45979</v>
      </c>
      <c r="F22" s="18">
        <v>45979</v>
      </c>
      <c r="G22" s="17" t="s">
        <v>495</v>
      </c>
      <c r="H22" s="17">
        <v>544434</v>
      </c>
      <c r="I22" s="17" t="s">
        <v>496</v>
      </c>
      <c r="J22" s="19">
        <v>11.99</v>
      </c>
      <c r="K22" s="19">
        <v>11.99</v>
      </c>
      <c r="L22" s="19">
        <v>0</v>
      </c>
      <c r="M22" s="17"/>
      <c r="N22" s="17"/>
      <c r="O22" s="17"/>
    </row>
    <row r="23" spans="1:15">
      <c r="A23" s="17" t="s">
        <v>472</v>
      </c>
      <c r="B23" s="17" t="s">
        <v>473</v>
      </c>
      <c r="C23" s="17" t="s">
        <v>402</v>
      </c>
      <c r="D23" s="17" t="s">
        <v>403</v>
      </c>
      <c r="E23" s="18">
        <v>45980</v>
      </c>
      <c r="F23" s="18">
        <v>45980</v>
      </c>
      <c r="G23" s="17" t="s">
        <v>497</v>
      </c>
      <c r="H23" s="17">
        <v>631821</v>
      </c>
      <c r="I23" s="17" t="s">
        <v>498</v>
      </c>
      <c r="J23" s="19">
        <v>217.91</v>
      </c>
      <c r="K23" s="19">
        <v>217.91</v>
      </c>
      <c r="L23" s="19">
        <v>0</v>
      </c>
      <c r="M23" s="17"/>
      <c r="N23" s="17"/>
      <c r="O23" s="17"/>
    </row>
    <row r="24" spans="1:15">
      <c r="A24" s="17" t="s">
        <v>472</v>
      </c>
      <c r="B24" s="17" t="s">
        <v>473</v>
      </c>
      <c r="C24" s="17" t="s">
        <v>402</v>
      </c>
      <c r="D24" s="17" t="s">
        <v>403</v>
      </c>
      <c r="E24" s="18">
        <v>45981</v>
      </c>
      <c r="F24" s="18">
        <v>45980</v>
      </c>
      <c r="G24" s="17" t="s">
        <v>474</v>
      </c>
      <c r="H24" s="17">
        <v>647491</v>
      </c>
      <c r="I24" s="17" t="s">
        <v>475</v>
      </c>
      <c r="J24" s="19">
        <v>114.86</v>
      </c>
      <c r="K24" s="19">
        <v>114.86</v>
      </c>
      <c r="L24" s="19">
        <v>0</v>
      </c>
      <c r="M24" s="17"/>
      <c r="N24" s="17"/>
      <c r="O24" s="17"/>
    </row>
    <row r="25" spans="1:15">
      <c r="A25" s="17" t="s">
        <v>472</v>
      </c>
      <c r="B25" s="17" t="s">
        <v>473</v>
      </c>
      <c r="C25" s="17" t="s">
        <v>402</v>
      </c>
      <c r="D25" s="17" t="s">
        <v>403</v>
      </c>
      <c r="E25" s="18">
        <v>45981</v>
      </c>
      <c r="F25" s="18">
        <v>45980</v>
      </c>
      <c r="G25" s="17" t="s">
        <v>462</v>
      </c>
      <c r="H25" s="17">
        <v>646724</v>
      </c>
      <c r="I25" s="17" t="s">
        <v>499</v>
      </c>
      <c r="J25" s="19">
        <v>126.87</v>
      </c>
      <c r="K25" s="19">
        <v>126.87</v>
      </c>
      <c r="L25" s="19">
        <v>0</v>
      </c>
      <c r="M25" s="17"/>
      <c r="N25" s="17"/>
      <c r="O25" s="17"/>
    </row>
    <row r="26" spans="1:15">
      <c r="A26" s="17" t="s">
        <v>472</v>
      </c>
      <c r="B26" s="17" t="s">
        <v>473</v>
      </c>
      <c r="C26" s="17" t="s">
        <v>402</v>
      </c>
      <c r="D26" s="17" t="s">
        <v>403</v>
      </c>
      <c r="E26" s="18">
        <v>45981</v>
      </c>
      <c r="F26" s="18">
        <v>45981</v>
      </c>
      <c r="G26" s="17" t="s">
        <v>500</v>
      </c>
      <c r="H26" s="17">
        <v>652689</v>
      </c>
      <c r="I26" s="17" t="s">
        <v>501</v>
      </c>
      <c r="J26" s="19">
        <v>39.42</v>
      </c>
      <c r="K26" s="19">
        <v>39.42</v>
      </c>
      <c r="L26" s="19">
        <v>0</v>
      </c>
      <c r="M26" s="17"/>
      <c r="N26" s="17"/>
      <c r="O26" s="17"/>
    </row>
    <row r="27" spans="1:15">
      <c r="A27" s="17" t="s">
        <v>472</v>
      </c>
      <c r="B27" s="17" t="s">
        <v>473</v>
      </c>
      <c r="C27" s="17" t="s">
        <v>402</v>
      </c>
      <c r="D27" s="17" t="s">
        <v>403</v>
      </c>
      <c r="E27" s="18">
        <v>45981</v>
      </c>
      <c r="F27" s="18">
        <v>45981</v>
      </c>
      <c r="G27" s="17" t="s">
        <v>497</v>
      </c>
      <c r="H27" s="17">
        <v>650400</v>
      </c>
      <c r="I27" s="17" t="s">
        <v>502</v>
      </c>
      <c r="J27" s="19">
        <v>251.08</v>
      </c>
      <c r="K27" s="19">
        <v>251.08</v>
      </c>
      <c r="L27" s="19">
        <v>0</v>
      </c>
      <c r="M27" s="17"/>
      <c r="N27" s="17"/>
      <c r="O27" s="17"/>
    </row>
    <row r="28" spans="1:15">
      <c r="A28" s="17" t="s">
        <v>472</v>
      </c>
      <c r="B28" s="17" t="s">
        <v>473</v>
      </c>
      <c r="C28" s="17" t="s">
        <v>402</v>
      </c>
      <c r="D28" s="17" t="s">
        <v>403</v>
      </c>
      <c r="E28" s="18">
        <v>45981</v>
      </c>
      <c r="F28" s="18">
        <v>45981</v>
      </c>
      <c r="G28" s="17" t="s">
        <v>474</v>
      </c>
      <c r="H28" s="17">
        <v>649910</v>
      </c>
      <c r="I28" s="17" t="s">
        <v>503</v>
      </c>
      <c r="J28" s="19">
        <v>62.39</v>
      </c>
      <c r="K28" s="19">
        <v>62.39</v>
      </c>
      <c r="L28" s="19">
        <v>0</v>
      </c>
      <c r="M28" s="17"/>
      <c r="N28" s="17"/>
      <c r="O28" s="17"/>
    </row>
    <row r="29" spans="1:15" s="5" customFormat="1">
      <c r="A29" s="20" t="s">
        <v>472</v>
      </c>
      <c r="B29" s="20" t="s">
        <v>473</v>
      </c>
      <c r="C29" s="20" t="s">
        <v>402</v>
      </c>
      <c r="D29" s="20" t="s">
        <v>403</v>
      </c>
      <c r="E29" s="21">
        <v>45982</v>
      </c>
      <c r="F29" s="21">
        <v>45982</v>
      </c>
      <c r="G29" s="20" t="s">
        <v>504</v>
      </c>
      <c r="H29" s="20">
        <v>612957</v>
      </c>
      <c r="I29" s="20" t="s">
        <v>505</v>
      </c>
      <c r="J29" s="22">
        <v>89</v>
      </c>
      <c r="K29" s="22">
        <v>89</v>
      </c>
      <c r="L29" s="22">
        <v>0</v>
      </c>
      <c r="M29" s="20"/>
      <c r="N29" s="20"/>
      <c r="O29" s="20"/>
    </row>
    <row r="30" spans="1:15">
      <c r="A30" s="17" t="s">
        <v>472</v>
      </c>
      <c r="B30" s="17" t="s">
        <v>473</v>
      </c>
      <c r="C30" s="17" t="s">
        <v>402</v>
      </c>
      <c r="D30" s="17" t="s">
        <v>403</v>
      </c>
      <c r="E30" s="18">
        <v>45983</v>
      </c>
      <c r="F30" s="18">
        <v>45983</v>
      </c>
      <c r="G30" s="17" t="s">
        <v>478</v>
      </c>
      <c r="H30" s="17">
        <v>427120</v>
      </c>
      <c r="I30" s="17" t="s">
        <v>479</v>
      </c>
      <c r="J30" s="19">
        <v>785.91</v>
      </c>
      <c r="K30" s="19">
        <v>785.91</v>
      </c>
      <c r="L30" s="19">
        <v>0</v>
      </c>
      <c r="M30" s="17"/>
      <c r="N30" s="17"/>
      <c r="O30" s="17"/>
    </row>
    <row r="31" spans="1:15">
      <c r="A31" s="17" t="s">
        <v>472</v>
      </c>
      <c r="B31" s="17" t="s">
        <v>473</v>
      </c>
      <c r="C31" s="17" t="s">
        <v>402</v>
      </c>
      <c r="D31" s="17" t="s">
        <v>403</v>
      </c>
      <c r="E31" s="18">
        <v>45985</v>
      </c>
      <c r="F31" s="18">
        <v>45985</v>
      </c>
      <c r="G31" s="17" t="s">
        <v>506</v>
      </c>
      <c r="H31" s="17">
        <v>197064</v>
      </c>
      <c r="I31" s="17" t="s">
        <v>507</v>
      </c>
      <c r="J31" s="19">
        <v>59.66</v>
      </c>
      <c r="K31" s="19">
        <v>59.66</v>
      </c>
      <c r="L31" s="19">
        <v>0</v>
      </c>
      <c r="M31" s="17"/>
      <c r="N31" s="17"/>
      <c r="O31" s="17"/>
    </row>
    <row r="32" spans="1:15">
      <c r="A32" s="17" t="s">
        <v>472</v>
      </c>
      <c r="B32" s="17" t="s">
        <v>473</v>
      </c>
      <c r="C32" s="17" t="s">
        <v>402</v>
      </c>
      <c r="D32" s="17" t="s">
        <v>403</v>
      </c>
      <c r="E32" s="18">
        <v>45985</v>
      </c>
      <c r="F32" s="18">
        <v>45985</v>
      </c>
      <c r="G32" s="17" t="s">
        <v>474</v>
      </c>
      <c r="H32" s="17">
        <v>196585</v>
      </c>
      <c r="I32" s="17" t="s">
        <v>475</v>
      </c>
      <c r="J32" s="19">
        <v>242.78</v>
      </c>
      <c r="K32" s="19">
        <v>242.78</v>
      </c>
      <c r="L32" s="19">
        <v>0</v>
      </c>
      <c r="M32" s="17"/>
      <c r="N32" s="17"/>
      <c r="O32" s="17"/>
    </row>
    <row r="33" spans="1:15">
      <c r="A33" s="17" t="s">
        <v>472</v>
      </c>
      <c r="B33" s="17" t="s">
        <v>473</v>
      </c>
      <c r="C33" s="17" t="s">
        <v>402</v>
      </c>
      <c r="D33" s="17" t="s">
        <v>403</v>
      </c>
      <c r="E33" s="18">
        <v>45991</v>
      </c>
      <c r="F33" s="18">
        <v>45991</v>
      </c>
      <c r="G33" s="17" t="s">
        <v>476</v>
      </c>
      <c r="H33" s="17">
        <v>140643</v>
      </c>
      <c r="I33" s="17" t="s">
        <v>484</v>
      </c>
      <c r="J33" s="19">
        <v>19.89</v>
      </c>
      <c r="K33" s="19">
        <v>19.89</v>
      </c>
      <c r="L33" s="19">
        <v>0</v>
      </c>
      <c r="M33" s="17"/>
      <c r="N33" s="17"/>
      <c r="O33" s="1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7FEC9-1B3E-4033-8B9C-17459D89A78F}">
  <dimension ref="A1:O11"/>
  <sheetViews>
    <sheetView workbookViewId="0">
      <selection activeCell="G31" sqref="G31"/>
    </sheetView>
  </sheetViews>
  <sheetFormatPr defaultColWidth="8.85546875" defaultRowHeight="15"/>
  <cols>
    <col min="1" max="1" width="11.7109375" bestFit="1" customWidth="1"/>
    <col min="2" max="2" width="25.140625" customWidth="1"/>
    <col min="3" max="4" width="27.85546875" customWidth="1"/>
    <col min="5" max="5" width="21.42578125" customWidth="1"/>
    <col min="6" max="6" width="18.42578125" customWidth="1"/>
    <col min="7" max="7" width="27.28515625" customWidth="1"/>
    <col min="8" max="8" width="15" customWidth="1"/>
    <col min="9" max="9" width="40.28515625" customWidth="1"/>
    <col min="10" max="10" width="18" customWidth="1"/>
    <col min="11" max="11" width="18.42578125" customWidth="1"/>
    <col min="12" max="12" width="17.7109375" customWidth="1"/>
  </cols>
  <sheetData>
    <row r="1" spans="1:15">
      <c r="A1" s="15" t="s">
        <v>388</v>
      </c>
      <c r="B1" s="15" t="s">
        <v>389</v>
      </c>
      <c r="C1" s="15" t="s">
        <v>390</v>
      </c>
      <c r="D1" s="15" t="s">
        <v>391</v>
      </c>
      <c r="E1" s="15" t="s">
        <v>392</v>
      </c>
      <c r="F1" s="15" t="s">
        <v>393</v>
      </c>
      <c r="G1" s="15" t="s">
        <v>394</v>
      </c>
      <c r="H1" s="15" t="s">
        <v>395</v>
      </c>
      <c r="I1" s="15" t="s">
        <v>396</v>
      </c>
      <c r="J1" s="16" t="s">
        <v>397</v>
      </c>
      <c r="K1" s="16" t="s">
        <v>398</v>
      </c>
      <c r="L1" s="16" t="s">
        <v>399</v>
      </c>
      <c r="M1" s="15"/>
      <c r="N1" s="15"/>
      <c r="O1" s="15"/>
    </row>
    <row r="2" spans="1:15">
      <c r="A2" s="17" t="s">
        <v>508</v>
      </c>
      <c r="B2" s="17" t="s">
        <v>509</v>
      </c>
      <c r="C2" s="17" t="s">
        <v>402</v>
      </c>
      <c r="D2" s="17" t="s">
        <v>403</v>
      </c>
      <c r="E2" s="18">
        <v>45968</v>
      </c>
      <c r="F2" s="18">
        <v>45967</v>
      </c>
      <c r="G2" s="17" t="s">
        <v>510</v>
      </c>
      <c r="H2" s="17">
        <v>705965</v>
      </c>
      <c r="I2" s="17" t="s">
        <v>511</v>
      </c>
      <c r="J2" s="19">
        <v>641.25</v>
      </c>
      <c r="K2" s="19">
        <v>641.25</v>
      </c>
      <c r="L2" s="19">
        <v>0</v>
      </c>
      <c r="M2" s="17"/>
      <c r="N2" s="17"/>
      <c r="O2" s="17"/>
    </row>
    <row r="3" spans="1:15">
      <c r="A3" s="17" t="s">
        <v>508</v>
      </c>
      <c r="B3" s="17" t="s">
        <v>509</v>
      </c>
      <c r="C3" s="17" t="s">
        <v>402</v>
      </c>
      <c r="D3" s="17" t="s">
        <v>403</v>
      </c>
      <c r="E3" s="18">
        <v>45975</v>
      </c>
      <c r="F3" s="18">
        <v>45975</v>
      </c>
      <c r="G3" s="17" t="s">
        <v>512</v>
      </c>
      <c r="H3" s="17">
        <v>683557</v>
      </c>
      <c r="I3" s="17" t="s">
        <v>513</v>
      </c>
      <c r="J3" s="19">
        <v>614.09</v>
      </c>
      <c r="K3" s="19">
        <v>614.09</v>
      </c>
      <c r="L3" s="19">
        <v>0</v>
      </c>
      <c r="M3" s="17"/>
      <c r="N3" s="17"/>
      <c r="O3" s="17"/>
    </row>
    <row r="4" spans="1:15">
      <c r="A4" s="17" t="s">
        <v>508</v>
      </c>
      <c r="B4" s="17" t="s">
        <v>509</v>
      </c>
      <c r="C4" s="17" t="s">
        <v>402</v>
      </c>
      <c r="D4" s="17" t="s">
        <v>403</v>
      </c>
      <c r="E4" s="18">
        <v>45985</v>
      </c>
      <c r="F4" s="18">
        <v>45985</v>
      </c>
      <c r="G4" s="17" t="s">
        <v>514</v>
      </c>
      <c r="H4" s="17">
        <v>208102</v>
      </c>
      <c r="I4" s="17" t="s">
        <v>515</v>
      </c>
      <c r="J4" s="19">
        <v>770.94</v>
      </c>
      <c r="K4" s="19">
        <v>770.94</v>
      </c>
      <c r="L4" s="19">
        <v>0</v>
      </c>
      <c r="M4" s="17"/>
      <c r="N4" s="17"/>
      <c r="O4" s="17"/>
    </row>
    <row r="5" spans="1:15">
      <c r="A5" s="17" t="s">
        <v>508</v>
      </c>
      <c r="B5" s="17" t="s">
        <v>509</v>
      </c>
      <c r="C5" s="17" t="s">
        <v>402</v>
      </c>
      <c r="D5" s="17" t="s">
        <v>403</v>
      </c>
      <c r="E5" s="18">
        <v>45990</v>
      </c>
      <c r="F5" s="18">
        <v>45990</v>
      </c>
      <c r="G5" s="17" t="s">
        <v>438</v>
      </c>
      <c r="H5" s="17">
        <v>283482</v>
      </c>
      <c r="I5" s="17" t="s">
        <v>439</v>
      </c>
      <c r="J5" s="19">
        <v>49</v>
      </c>
      <c r="K5" s="19">
        <v>49</v>
      </c>
      <c r="L5" s="19">
        <v>0</v>
      </c>
      <c r="M5" s="17"/>
      <c r="N5" s="17"/>
      <c r="O5" s="17"/>
    </row>
    <row r="6" spans="1:15" s="5" customFormat="1">
      <c r="A6" s="20" t="s">
        <v>508</v>
      </c>
      <c r="B6" s="20" t="s">
        <v>509</v>
      </c>
      <c r="C6" s="20" t="s">
        <v>402</v>
      </c>
      <c r="D6" s="20" t="s">
        <v>403</v>
      </c>
      <c r="E6" s="21">
        <v>45972</v>
      </c>
      <c r="F6" s="21">
        <v>45972</v>
      </c>
      <c r="G6" s="20" t="s">
        <v>516</v>
      </c>
      <c r="H6" s="20">
        <v>575838</v>
      </c>
      <c r="I6" s="20" t="s">
        <v>517</v>
      </c>
      <c r="J6" s="22">
        <v>3335</v>
      </c>
      <c r="K6" s="22">
        <v>3335</v>
      </c>
      <c r="L6" s="22">
        <v>0</v>
      </c>
      <c r="M6" s="20"/>
      <c r="N6" s="20"/>
      <c r="O6" s="20"/>
    </row>
    <row r="7" spans="1:15">
      <c r="A7" s="17" t="s">
        <v>508</v>
      </c>
      <c r="B7" s="17" t="s">
        <v>509</v>
      </c>
      <c r="C7" s="17" t="s">
        <v>402</v>
      </c>
      <c r="D7" s="17" t="s">
        <v>403</v>
      </c>
      <c r="E7" s="18">
        <v>45973</v>
      </c>
      <c r="F7" s="18">
        <v>45973</v>
      </c>
      <c r="G7" s="17" t="s">
        <v>411</v>
      </c>
      <c r="H7" s="17">
        <v>628880</v>
      </c>
      <c r="I7" s="17" t="s">
        <v>518</v>
      </c>
      <c r="J7" s="19">
        <v>102.1</v>
      </c>
      <c r="K7" s="19">
        <v>102.1</v>
      </c>
      <c r="L7" s="19">
        <v>0</v>
      </c>
      <c r="M7" s="17"/>
      <c r="N7" s="17"/>
      <c r="O7" s="17"/>
    </row>
    <row r="8" spans="1:15">
      <c r="A8" s="17" t="s">
        <v>508</v>
      </c>
      <c r="B8" s="17" t="s">
        <v>509</v>
      </c>
      <c r="C8" s="17" t="s">
        <v>402</v>
      </c>
      <c r="D8" s="17" t="s">
        <v>403</v>
      </c>
      <c r="E8" s="18">
        <v>45971</v>
      </c>
      <c r="F8" s="18">
        <v>45971</v>
      </c>
      <c r="G8" s="17" t="s">
        <v>519</v>
      </c>
      <c r="H8" s="17">
        <v>296653</v>
      </c>
      <c r="I8" s="17" t="s">
        <v>520</v>
      </c>
      <c r="J8" s="19">
        <v>58</v>
      </c>
      <c r="K8" s="19">
        <v>58</v>
      </c>
      <c r="L8" s="19">
        <v>0</v>
      </c>
      <c r="M8" s="17"/>
      <c r="N8" s="17"/>
      <c r="O8" s="17"/>
    </row>
    <row r="9" spans="1:15" s="5" customFormat="1">
      <c r="A9" s="20" t="s">
        <v>508</v>
      </c>
      <c r="B9" s="20" t="s">
        <v>509</v>
      </c>
      <c r="C9" s="20" t="s">
        <v>402</v>
      </c>
      <c r="D9" s="20" t="s">
        <v>403</v>
      </c>
      <c r="E9" s="21">
        <v>45970</v>
      </c>
      <c r="F9" s="21">
        <v>45969</v>
      </c>
      <c r="G9" s="20" t="s">
        <v>443</v>
      </c>
      <c r="H9" s="20">
        <v>235721</v>
      </c>
      <c r="I9" s="20" t="s">
        <v>444</v>
      </c>
      <c r="J9" s="22">
        <v>20</v>
      </c>
      <c r="K9" s="22">
        <v>20</v>
      </c>
      <c r="L9" s="22">
        <v>0</v>
      </c>
      <c r="M9" s="20"/>
      <c r="N9" s="20"/>
      <c r="O9" s="20"/>
    </row>
    <row r="10" spans="1:15">
      <c r="A10" s="17" t="s">
        <v>508</v>
      </c>
      <c r="B10" s="17" t="s">
        <v>509</v>
      </c>
      <c r="C10" s="17" t="s">
        <v>402</v>
      </c>
      <c r="D10" s="17" t="s">
        <v>403</v>
      </c>
      <c r="E10" s="18">
        <v>45967</v>
      </c>
      <c r="F10" s="18">
        <v>45966</v>
      </c>
      <c r="G10" s="17" t="s">
        <v>521</v>
      </c>
      <c r="H10" s="17">
        <v>691791</v>
      </c>
      <c r="I10" s="17" t="s">
        <v>522</v>
      </c>
      <c r="J10" s="19">
        <v>54.56</v>
      </c>
      <c r="K10" s="19">
        <v>54.56</v>
      </c>
      <c r="L10" s="19">
        <v>0</v>
      </c>
      <c r="M10" s="17"/>
      <c r="N10" s="17"/>
      <c r="O10" s="17"/>
    </row>
    <row r="11" spans="1:15">
      <c r="A11" s="17" t="s">
        <v>508</v>
      </c>
      <c r="B11" s="17" t="s">
        <v>509</v>
      </c>
      <c r="C11" s="17" t="s">
        <v>402</v>
      </c>
      <c r="D11" s="17" t="s">
        <v>403</v>
      </c>
      <c r="E11" s="18">
        <v>45967</v>
      </c>
      <c r="F11" s="18">
        <v>45966</v>
      </c>
      <c r="G11" s="17" t="s">
        <v>523</v>
      </c>
      <c r="H11" s="17">
        <v>681199</v>
      </c>
      <c r="I11" s="17" t="s">
        <v>524</v>
      </c>
      <c r="J11" s="19">
        <v>60.98</v>
      </c>
      <c r="K11" s="19">
        <v>60.98</v>
      </c>
      <c r="L11" s="19">
        <v>0</v>
      </c>
      <c r="M11" s="17"/>
      <c r="N11" s="17"/>
      <c r="O11" s="17"/>
    </row>
  </sheetData>
  <sortState xmlns:xlrd2="http://schemas.microsoft.com/office/spreadsheetml/2017/richdata2" ref="A2:L11">
    <sortCondition ref="G2:G1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357C2-0CAC-467E-9972-3010A14B7C8C}">
  <dimension ref="A1:O11"/>
  <sheetViews>
    <sheetView workbookViewId="0">
      <selection activeCell="A2" sqref="A2"/>
    </sheetView>
  </sheetViews>
  <sheetFormatPr defaultColWidth="8.85546875" defaultRowHeight="15"/>
  <cols>
    <col min="1" max="1" width="11.7109375" bestFit="1" customWidth="1"/>
    <col min="2" max="2" width="25.140625" customWidth="1"/>
    <col min="3" max="4" width="27.85546875" customWidth="1"/>
    <col min="5" max="5" width="21.42578125" customWidth="1"/>
    <col min="6" max="6" width="18.42578125" customWidth="1"/>
    <col min="7" max="7" width="27.28515625" customWidth="1"/>
    <col min="8" max="8" width="15" customWidth="1"/>
    <col min="9" max="9" width="40.28515625" customWidth="1"/>
    <col min="10" max="10" width="18" customWidth="1"/>
    <col min="11" max="11" width="18.42578125" customWidth="1"/>
    <col min="12" max="12" width="17.7109375" customWidth="1"/>
  </cols>
  <sheetData>
    <row r="1" spans="1:15">
      <c r="A1" s="15" t="s">
        <v>388</v>
      </c>
      <c r="B1" s="15" t="s">
        <v>389</v>
      </c>
      <c r="C1" s="15" t="s">
        <v>390</v>
      </c>
      <c r="D1" s="15" t="s">
        <v>391</v>
      </c>
      <c r="E1" s="15" t="s">
        <v>392</v>
      </c>
      <c r="F1" s="15" t="s">
        <v>393</v>
      </c>
      <c r="G1" s="15" t="s">
        <v>394</v>
      </c>
      <c r="H1" s="15" t="s">
        <v>395</v>
      </c>
      <c r="I1" s="15" t="s">
        <v>396</v>
      </c>
      <c r="J1" s="16" t="s">
        <v>397</v>
      </c>
      <c r="K1" s="16" t="s">
        <v>398</v>
      </c>
      <c r="L1" s="16" t="s">
        <v>399</v>
      </c>
      <c r="M1" s="15"/>
      <c r="N1" s="15"/>
      <c r="O1" s="15"/>
    </row>
    <row r="2" spans="1:15">
      <c r="A2" s="17" t="s">
        <v>525</v>
      </c>
      <c r="B2" s="17" t="s">
        <v>526</v>
      </c>
      <c r="C2" s="17" t="s">
        <v>402</v>
      </c>
      <c r="D2" s="17" t="s">
        <v>403</v>
      </c>
      <c r="E2" s="18">
        <v>45969</v>
      </c>
      <c r="F2" s="18">
        <v>45968</v>
      </c>
      <c r="G2" s="17" t="s">
        <v>527</v>
      </c>
      <c r="H2" s="17">
        <v>539463</v>
      </c>
      <c r="I2" s="17" t="s">
        <v>528</v>
      </c>
      <c r="J2" s="19">
        <v>645.11</v>
      </c>
      <c r="K2" s="19">
        <v>645.11</v>
      </c>
      <c r="L2" s="19">
        <v>0</v>
      </c>
      <c r="M2" s="17"/>
      <c r="N2" s="17"/>
      <c r="O2" s="17"/>
    </row>
    <row r="3" spans="1:15">
      <c r="A3" s="17" t="s">
        <v>525</v>
      </c>
      <c r="B3" s="17" t="s">
        <v>526</v>
      </c>
      <c r="C3" s="17" t="s">
        <v>402</v>
      </c>
      <c r="D3" s="17" t="s">
        <v>403</v>
      </c>
      <c r="E3" s="18">
        <v>45972</v>
      </c>
      <c r="F3" s="18">
        <v>45971</v>
      </c>
      <c r="G3" s="17" t="s">
        <v>529</v>
      </c>
      <c r="H3" s="17">
        <v>616460</v>
      </c>
      <c r="I3" s="17" t="s">
        <v>530</v>
      </c>
      <c r="J3" s="19">
        <v>15</v>
      </c>
      <c r="K3" s="19">
        <v>15</v>
      </c>
      <c r="L3" s="19">
        <v>0</v>
      </c>
      <c r="M3" s="17"/>
      <c r="N3" s="17"/>
      <c r="O3" s="17"/>
    </row>
    <row r="4" spans="1:15">
      <c r="A4" s="17" t="s">
        <v>525</v>
      </c>
      <c r="B4" s="17" t="s">
        <v>526</v>
      </c>
      <c r="C4" s="17" t="s">
        <v>402</v>
      </c>
      <c r="D4" s="17" t="s">
        <v>403</v>
      </c>
      <c r="E4" s="18">
        <v>45972</v>
      </c>
      <c r="F4" s="18">
        <v>45971</v>
      </c>
      <c r="G4" s="17" t="s">
        <v>529</v>
      </c>
      <c r="H4" s="17">
        <v>616461</v>
      </c>
      <c r="I4" s="17" t="s">
        <v>530</v>
      </c>
      <c r="J4" s="19">
        <v>60</v>
      </c>
      <c r="K4" s="19">
        <v>60</v>
      </c>
      <c r="L4" s="19">
        <v>0</v>
      </c>
      <c r="M4" s="17"/>
      <c r="N4" s="17"/>
      <c r="O4" s="17"/>
    </row>
    <row r="5" spans="1:15">
      <c r="A5" s="17" t="s">
        <v>525</v>
      </c>
      <c r="B5" s="17" t="s">
        <v>526</v>
      </c>
      <c r="C5" s="17" t="s">
        <v>402</v>
      </c>
      <c r="D5" s="17" t="s">
        <v>403</v>
      </c>
      <c r="E5" s="18">
        <v>45972</v>
      </c>
      <c r="F5" s="18">
        <v>45971</v>
      </c>
      <c r="G5" s="17" t="s">
        <v>531</v>
      </c>
      <c r="H5" s="17">
        <v>617246</v>
      </c>
      <c r="I5" s="17" t="s">
        <v>532</v>
      </c>
      <c r="J5" s="19">
        <v>81.67</v>
      </c>
      <c r="K5" s="19">
        <v>81.67</v>
      </c>
      <c r="L5" s="19">
        <v>0</v>
      </c>
      <c r="M5" s="17"/>
      <c r="N5" s="17"/>
      <c r="O5" s="17"/>
    </row>
    <row r="6" spans="1:15">
      <c r="A6" s="17" t="s">
        <v>525</v>
      </c>
      <c r="B6" s="17" t="s">
        <v>526</v>
      </c>
      <c r="C6" s="17" t="s">
        <v>402</v>
      </c>
      <c r="D6" s="17" t="s">
        <v>403</v>
      </c>
      <c r="E6" s="18">
        <v>45973</v>
      </c>
      <c r="F6" s="18">
        <v>45972</v>
      </c>
      <c r="G6" s="17" t="s">
        <v>529</v>
      </c>
      <c r="H6" s="17">
        <v>683315</v>
      </c>
      <c r="I6" s="17" t="s">
        <v>530</v>
      </c>
      <c r="J6" s="19">
        <v>15</v>
      </c>
      <c r="K6" s="19">
        <v>15</v>
      </c>
      <c r="L6" s="19">
        <v>0</v>
      </c>
      <c r="M6" s="17"/>
      <c r="N6" s="17"/>
      <c r="O6" s="17"/>
    </row>
    <row r="7" spans="1:15">
      <c r="A7" s="17" t="s">
        <v>525</v>
      </c>
      <c r="B7" s="17" t="s">
        <v>526</v>
      </c>
      <c r="C7" s="17" t="s">
        <v>402</v>
      </c>
      <c r="D7" s="17" t="s">
        <v>403</v>
      </c>
      <c r="E7" s="18">
        <v>45973</v>
      </c>
      <c r="F7" s="18">
        <v>45972</v>
      </c>
      <c r="G7" s="17" t="s">
        <v>529</v>
      </c>
      <c r="H7" s="17">
        <v>683316</v>
      </c>
      <c r="I7" s="17" t="s">
        <v>530</v>
      </c>
      <c r="J7" s="19">
        <v>45</v>
      </c>
      <c r="K7" s="19">
        <v>45</v>
      </c>
      <c r="L7" s="19">
        <v>0</v>
      </c>
      <c r="M7" s="17"/>
      <c r="N7" s="17"/>
      <c r="O7" s="17"/>
    </row>
    <row r="8" spans="1:15">
      <c r="A8" s="17" t="s">
        <v>525</v>
      </c>
      <c r="B8" s="17" t="s">
        <v>526</v>
      </c>
      <c r="C8" s="17" t="s">
        <v>402</v>
      </c>
      <c r="D8" s="17" t="s">
        <v>403</v>
      </c>
      <c r="E8" s="18">
        <v>45981</v>
      </c>
      <c r="F8" s="18">
        <v>45981</v>
      </c>
      <c r="G8" s="17" t="s">
        <v>455</v>
      </c>
      <c r="H8" s="17">
        <v>760887</v>
      </c>
      <c r="I8" s="17" t="s">
        <v>533</v>
      </c>
      <c r="J8" s="19">
        <v>105.95</v>
      </c>
      <c r="K8" s="19">
        <v>105.95</v>
      </c>
      <c r="L8" s="19">
        <v>0</v>
      </c>
      <c r="M8" s="17"/>
      <c r="N8" s="17"/>
      <c r="O8" s="17"/>
    </row>
    <row r="9" spans="1:15">
      <c r="A9" s="17" t="s">
        <v>525</v>
      </c>
      <c r="B9" s="17" t="s">
        <v>526</v>
      </c>
      <c r="C9" s="17" t="s">
        <v>402</v>
      </c>
      <c r="D9" s="17" t="s">
        <v>403</v>
      </c>
      <c r="E9" s="18">
        <v>45982</v>
      </c>
      <c r="F9" s="18">
        <v>45981</v>
      </c>
      <c r="G9" s="17" t="s">
        <v>455</v>
      </c>
      <c r="H9" s="17">
        <v>730046</v>
      </c>
      <c r="I9" s="17" t="s">
        <v>534</v>
      </c>
      <c r="J9" s="19">
        <v>62.46</v>
      </c>
      <c r="K9" s="19">
        <v>62.46</v>
      </c>
      <c r="L9" s="19">
        <v>0</v>
      </c>
      <c r="M9" s="17"/>
      <c r="N9" s="17"/>
      <c r="O9" s="17"/>
    </row>
    <row r="10" spans="1:15">
      <c r="A10" s="17"/>
      <c r="B10" s="17"/>
      <c r="C10" s="17"/>
      <c r="D10" s="17"/>
      <c r="E10" s="18"/>
      <c r="F10" s="18"/>
      <c r="G10" s="17"/>
      <c r="H10" s="17"/>
      <c r="I10" s="17"/>
      <c r="J10" s="23"/>
      <c r="K10" s="23"/>
      <c r="L10" s="23"/>
      <c r="M10" s="17"/>
      <c r="N10" s="17"/>
      <c r="O10" s="17"/>
    </row>
    <row r="11" spans="1:15">
      <c r="A11" s="17"/>
      <c r="B11" s="17"/>
      <c r="C11" s="17"/>
      <c r="D11" s="17"/>
      <c r="E11" s="18"/>
      <c r="F11" s="18"/>
      <c r="G11" s="17"/>
      <c r="H11" s="17"/>
      <c r="I11" s="17"/>
      <c r="J11" s="23"/>
      <c r="K11" s="23"/>
      <c r="L11" s="23"/>
      <c r="M11" s="17"/>
      <c r="N11" s="17"/>
      <c r="O11" s="1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E8141-C45A-454D-A42B-964B20FF5C1E}">
  <dimension ref="A1:O47"/>
  <sheetViews>
    <sheetView workbookViewId="0">
      <pane ySplit="1" topLeftCell="A17" activePane="bottomLeft" state="frozen"/>
      <selection pane="bottomLeft" activeCell="A19" sqref="A19"/>
    </sheetView>
  </sheetViews>
  <sheetFormatPr defaultColWidth="8.85546875" defaultRowHeight="15"/>
  <cols>
    <col min="1" max="1" width="64.28515625" style="9" customWidth="1"/>
    <col min="3" max="3" width="65.42578125" customWidth="1"/>
    <col min="4" max="4" width="44.42578125" hidden="1" customWidth="1"/>
    <col min="5" max="5" width="21.7109375" hidden="1" customWidth="1"/>
    <col min="6" max="6" width="27.85546875" hidden="1" customWidth="1"/>
    <col min="7" max="7" width="18" hidden="1" customWidth="1"/>
    <col min="8" max="8" width="21" customWidth="1"/>
    <col min="9" max="9" width="24.42578125" style="24" customWidth="1"/>
    <col min="10" max="10" width="23.28515625" customWidth="1"/>
  </cols>
  <sheetData>
    <row r="1" spans="1:14">
      <c r="A1" s="10" t="s">
        <v>0</v>
      </c>
      <c r="B1" s="2" t="s">
        <v>1</v>
      </c>
      <c r="C1" s="2" t="s">
        <v>3</v>
      </c>
      <c r="D1" s="2" t="s">
        <v>4</v>
      </c>
      <c r="E1" s="2" t="s">
        <v>5</v>
      </c>
      <c r="F1" s="2" t="s">
        <v>6</v>
      </c>
      <c r="G1" s="44" t="s">
        <v>7</v>
      </c>
      <c r="H1" s="2" t="s">
        <v>8</v>
      </c>
      <c r="I1" s="44" t="s">
        <v>9</v>
      </c>
      <c r="J1" s="2" t="s">
        <v>10</v>
      </c>
      <c r="K1" s="2" t="s">
        <v>11</v>
      </c>
      <c r="L1" s="2" t="s">
        <v>12</v>
      </c>
      <c r="M1" s="43" t="s">
        <v>13</v>
      </c>
      <c r="N1" s="2" t="s">
        <v>14</v>
      </c>
    </row>
    <row r="2" spans="1:14" ht="45" customHeight="1">
      <c r="A2" s="38" t="s">
        <v>535</v>
      </c>
      <c r="B2" s="38" t="s">
        <v>329</v>
      </c>
      <c r="C2" s="35" t="s">
        <v>536</v>
      </c>
      <c r="D2" s="38"/>
      <c r="E2" s="38" t="s">
        <v>50</v>
      </c>
      <c r="F2" t="s">
        <v>28</v>
      </c>
      <c r="G2" s="24"/>
      <c r="H2" t="s">
        <v>29</v>
      </c>
      <c r="I2" s="24">
        <v>49.95</v>
      </c>
      <c r="M2" s="25"/>
    </row>
    <row r="3" spans="1:14" ht="61.5" customHeight="1">
      <c r="A3" s="38" t="s">
        <v>537</v>
      </c>
      <c r="B3" s="38" t="s">
        <v>32</v>
      </c>
      <c r="C3" s="35" t="s">
        <v>538</v>
      </c>
      <c r="D3" s="38"/>
      <c r="E3" s="38" t="s">
        <v>50</v>
      </c>
      <c r="F3" t="s">
        <v>28</v>
      </c>
      <c r="G3" s="24"/>
      <c r="M3" s="25"/>
    </row>
    <row r="4" spans="1:14">
      <c r="A4" s="38" t="s">
        <v>539</v>
      </c>
      <c r="B4" s="38" t="s">
        <v>329</v>
      </c>
      <c r="C4" s="38" t="s">
        <v>540</v>
      </c>
      <c r="D4" s="38"/>
      <c r="E4" s="38" t="s">
        <v>50</v>
      </c>
      <c r="F4" t="s">
        <v>28</v>
      </c>
      <c r="G4" s="24"/>
      <c r="H4" t="s">
        <v>29</v>
      </c>
      <c r="I4" s="24">
        <v>49</v>
      </c>
      <c r="M4" s="25"/>
    </row>
    <row r="5" spans="1:14">
      <c r="A5" s="38" t="s">
        <v>541</v>
      </c>
      <c r="B5" s="38" t="s">
        <v>306</v>
      </c>
      <c r="C5" s="38" t="s">
        <v>540</v>
      </c>
      <c r="D5" s="38"/>
      <c r="E5" s="38" t="s">
        <v>50</v>
      </c>
      <c r="F5" t="s">
        <v>28</v>
      </c>
      <c r="G5" s="24"/>
      <c r="H5" t="s">
        <v>29</v>
      </c>
      <c r="I5" s="24">
        <v>330</v>
      </c>
      <c r="M5" s="25"/>
    </row>
    <row r="6" spans="1:14" ht="42.75" customHeight="1">
      <c r="A6" s="9" t="s">
        <v>542</v>
      </c>
      <c r="B6" s="38" t="s">
        <v>543</v>
      </c>
      <c r="C6" s="35" t="s">
        <v>544</v>
      </c>
      <c r="D6" s="38"/>
      <c r="E6" s="38"/>
      <c r="F6" t="s">
        <v>28</v>
      </c>
      <c r="G6" s="24"/>
      <c r="H6" t="s">
        <v>29</v>
      </c>
      <c r="I6" s="24">
        <v>179</v>
      </c>
      <c r="M6" s="25"/>
    </row>
    <row r="7" spans="1:14">
      <c r="A7" s="38" t="s">
        <v>545</v>
      </c>
      <c r="B7" s="38" t="s">
        <v>306</v>
      </c>
      <c r="C7" s="38" t="s">
        <v>540</v>
      </c>
      <c r="D7" s="38"/>
      <c r="E7" s="38" t="s">
        <v>50</v>
      </c>
      <c r="F7" t="s">
        <v>28</v>
      </c>
      <c r="G7" s="24"/>
      <c r="H7" t="s">
        <v>29</v>
      </c>
      <c r="I7" s="24">
        <v>19.989999999999998</v>
      </c>
      <c r="M7" s="25"/>
    </row>
    <row r="8" spans="1:14">
      <c r="A8" s="38" t="s">
        <v>546</v>
      </c>
      <c r="B8" s="38" t="s">
        <v>329</v>
      </c>
      <c r="C8" s="38" t="s">
        <v>540</v>
      </c>
      <c r="D8" s="38"/>
      <c r="E8" s="38" t="s">
        <v>50</v>
      </c>
      <c r="F8" t="s">
        <v>28</v>
      </c>
      <c r="G8" s="24"/>
      <c r="M8" s="25"/>
    </row>
    <row r="9" spans="1:14" ht="33" customHeight="1">
      <c r="A9" s="9" t="s">
        <v>547</v>
      </c>
      <c r="B9" s="38" t="s">
        <v>548</v>
      </c>
      <c r="C9" s="35" t="s">
        <v>549</v>
      </c>
      <c r="D9" s="38"/>
      <c r="E9" s="38"/>
      <c r="G9" s="24"/>
      <c r="H9" t="s">
        <v>59</v>
      </c>
      <c r="I9" s="24">
        <v>149.44999999999999</v>
      </c>
      <c r="M9" s="25"/>
    </row>
    <row r="10" spans="1:14">
      <c r="A10" s="38" t="s">
        <v>550</v>
      </c>
      <c r="B10" s="38" t="s">
        <v>306</v>
      </c>
      <c r="C10" s="38" t="s">
        <v>540</v>
      </c>
      <c r="D10" s="38"/>
      <c r="E10" s="38" t="s">
        <v>50</v>
      </c>
      <c r="F10" t="s">
        <v>28</v>
      </c>
      <c r="G10" s="24"/>
      <c r="H10" t="s">
        <v>29</v>
      </c>
      <c r="I10" s="24">
        <v>199</v>
      </c>
      <c r="M10" s="25"/>
    </row>
    <row r="11" spans="1:14" ht="45">
      <c r="A11" s="38" t="s">
        <v>551</v>
      </c>
      <c r="B11" s="38" t="s">
        <v>329</v>
      </c>
      <c r="C11" s="35" t="s">
        <v>552</v>
      </c>
      <c r="D11" s="38"/>
      <c r="E11" s="38" t="s">
        <v>50</v>
      </c>
      <c r="F11" t="s">
        <v>28</v>
      </c>
      <c r="G11" s="24"/>
      <c r="I11" s="53"/>
      <c r="M11" s="25"/>
    </row>
    <row r="12" spans="1:14" ht="75">
      <c r="A12" s="38" t="s">
        <v>553</v>
      </c>
      <c r="B12" s="38" t="s">
        <v>16</v>
      </c>
      <c r="C12" s="35" t="s">
        <v>554</v>
      </c>
      <c r="D12" s="38"/>
      <c r="E12" s="38" t="s">
        <v>50</v>
      </c>
      <c r="F12" t="s">
        <v>28</v>
      </c>
      <c r="G12" s="24"/>
      <c r="H12" t="s">
        <v>555</v>
      </c>
      <c r="I12" s="24">
        <v>418</v>
      </c>
      <c r="M12" s="25"/>
    </row>
    <row r="13" spans="1:14" ht="45">
      <c r="A13" s="38" t="s">
        <v>556</v>
      </c>
      <c r="B13" s="38" t="s">
        <v>32</v>
      </c>
      <c r="C13" s="35" t="s">
        <v>557</v>
      </c>
      <c r="D13" s="38" t="s">
        <v>36</v>
      </c>
      <c r="E13" s="38" t="s">
        <v>35</v>
      </c>
      <c r="F13" t="s">
        <v>28</v>
      </c>
      <c r="G13" s="24"/>
      <c r="M13" s="25"/>
    </row>
    <row r="14" spans="1:14" ht="30">
      <c r="A14" s="38" t="s">
        <v>558</v>
      </c>
      <c r="B14" s="38" t="s">
        <v>16</v>
      </c>
      <c r="C14" s="35" t="s">
        <v>559</v>
      </c>
      <c r="D14" s="38"/>
      <c r="E14" s="38" t="s">
        <v>50</v>
      </c>
      <c r="F14" t="s">
        <v>28</v>
      </c>
      <c r="G14" s="24"/>
      <c r="I14" s="53"/>
      <c r="M14" s="25"/>
    </row>
    <row r="15" spans="1:14" ht="45">
      <c r="A15" s="38" t="s">
        <v>560</v>
      </c>
      <c r="B15" s="41" t="s">
        <v>62</v>
      </c>
      <c r="C15" s="35" t="s">
        <v>561</v>
      </c>
      <c r="D15" s="38" t="s">
        <v>36</v>
      </c>
      <c r="E15" s="38" t="s">
        <v>296</v>
      </c>
      <c r="F15" t="s">
        <v>28</v>
      </c>
      <c r="G15" s="24"/>
      <c r="I15" s="53"/>
      <c r="M15" s="25"/>
    </row>
    <row r="16" spans="1:14" ht="45">
      <c r="A16" s="38" t="s">
        <v>562</v>
      </c>
      <c r="B16" s="38" t="s">
        <v>329</v>
      </c>
      <c r="C16" s="35" t="s">
        <v>557</v>
      </c>
      <c r="D16" s="38"/>
      <c r="E16" s="38" t="s">
        <v>50</v>
      </c>
      <c r="F16" t="s">
        <v>28</v>
      </c>
      <c r="G16" s="24"/>
      <c r="I16" s="53"/>
      <c r="M16" s="25"/>
    </row>
    <row r="17" spans="1:14" ht="30">
      <c r="A17" s="9" t="s">
        <v>563</v>
      </c>
      <c r="B17" s="38" t="s">
        <v>32</v>
      </c>
      <c r="C17" s="35" t="s">
        <v>564</v>
      </c>
      <c r="D17" s="38"/>
      <c r="E17" s="38"/>
      <c r="G17" s="24"/>
      <c r="H17" t="s">
        <v>29</v>
      </c>
      <c r="I17" s="24">
        <v>196</v>
      </c>
      <c r="M17" s="25"/>
    </row>
    <row r="18" spans="1:14" ht="45">
      <c r="A18" s="67" t="s">
        <v>565</v>
      </c>
      <c r="B18" s="38" t="s">
        <v>114</v>
      </c>
      <c r="C18" s="35" t="s">
        <v>566</v>
      </c>
      <c r="D18" s="38"/>
      <c r="E18" s="38" t="s">
        <v>50</v>
      </c>
      <c r="F18" t="s">
        <v>28</v>
      </c>
      <c r="G18" s="24"/>
      <c r="I18" s="53"/>
      <c r="M18" s="25"/>
    </row>
    <row r="19" spans="1:14" ht="30">
      <c r="A19" s="67" t="s">
        <v>567</v>
      </c>
      <c r="B19" s="38" t="s">
        <v>16</v>
      </c>
      <c r="C19" s="35" t="s">
        <v>568</v>
      </c>
      <c r="D19" s="38"/>
      <c r="E19" s="38" t="s">
        <v>50</v>
      </c>
      <c r="F19" t="s">
        <v>28</v>
      </c>
      <c r="G19" s="24"/>
      <c r="I19" s="53"/>
      <c r="M19" s="25"/>
    </row>
    <row r="20" spans="1:14" ht="90">
      <c r="A20" s="38" t="s">
        <v>569</v>
      </c>
      <c r="B20" s="38" t="s">
        <v>62</v>
      </c>
      <c r="C20" s="35" t="s">
        <v>570</v>
      </c>
      <c r="D20" s="38" t="s">
        <v>36</v>
      </c>
      <c r="E20" s="38" t="s">
        <v>35</v>
      </c>
      <c r="F20" t="s">
        <v>28</v>
      </c>
      <c r="G20" s="24"/>
      <c r="H20" t="s">
        <v>21</v>
      </c>
      <c r="I20" s="24">
        <v>224</v>
      </c>
      <c r="M20" s="25"/>
    </row>
    <row r="21" spans="1:14" ht="45">
      <c r="A21" s="38" t="s">
        <v>571</v>
      </c>
      <c r="B21" s="38" t="s">
        <v>329</v>
      </c>
      <c r="C21" s="35" t="s">
        <v>557</v>
      </c>
      <c r="D21" s="38"/>
      <c r="E21" s="38" t="s">
        <v>50</v>
      </c>
      <c r="F21" t="s">
        <v>28</v>
      </c>
      <c r="G21" s="24"/>
      <c r="I21" s="53"/>
      <c r="M21" s="25"/>
    </row>
    <row r="22" spans="1:14" ht="45">
      <c r="A22" s="38" t="s">
        <v>572</v>
      </c>
      <c r="B22" s="38" t="s">
        <v>306</v>
      </c>
      <c r="C22" s="35" t="s">
        <v>573</v>
      </c>
      <c r="D22" s="38" t="s">
        <v>50</v>
      </c>
      <c r="E22" s="38" t="s">
        <v>250</v>
      </c>
      <c r="F22" t="s">
        <v>28</v>
      </c>
      <c r="G22" s="24"/>
      <c r="H22" t="s">
        <v>29</v>
      </c>
      <c r="I22" s="24">
        <v>1287</v>
      </c>
      <c r="M22" s="25"/>
    </row>
    <row r="23" spans="1:14" ht="45">
      <c r="A23" s="38" t="s">
        <v>574</v>
      </c>
      <c r="B23" s="38" t="s">
        <v>16</v>
      </c>
      <c r="C23" s="35" t="s">
        <v>575</v>
      </c>
      <c r="D23" s="38" t="s">
        <v>576</v>
      </c>
      <c r="E23" s="38" t="s">
        <v>326</v>
      </c>
      <c r="F23" t="s">
        <v>28</v>
      </c>
      <c r="G23" s="24"/>
      <c r="M23" s="25"/>
    </row>
    <row r="24" spans="1:14" ht="30">
      <c r="A24" s="38" t="s">
        <v>577</v>
      </c>
      <c r="B24" s="38" t="s">
        <v>306</v>
      </c>
      <c r="C24" s="35" t="s">
        <v>578</v>
      </c>
      <c r="D24" s="38"/>
      <c r="E24" s="38" t="s">
        <v>50</v>
      </c>
      <c r="F24" t="s">
        <v>28</v>
      </c>
      <c r="G24" s="24"/>
      <c r="H24" t="s">
        <v>82</v>
      </c>
      <c r="I24" s="24">
        <v>300</v>
      </c>
      <c r="M24" s="25"/>
    </row>
    <row r="25" spans="1:14" ht="30">
      <c r="A25" s="38" t="s">
        <v>579</v>
      </c>
      <c r="B25" s="38" t="s">
        <v>387</v>
      </c>
      <c r="C25" s="35" t="s">
        <v>580</v>
      </c>
      <c r="D25" s="38"/>
      <c r="E25" s="38" t="s">
        <v>50</v>
      </c>
      <c r="F25" t="s">
        <v>28</v>
      </c>
      <c r="G25" s="24"/>
      <c r="M25" s="25"/>
    </row>
    <row r="26" spans="1:14">
      <c r="A26" s="38" t="s">
        <v>581</v>
      </c>
      <c r="B26" s="38" t="s">
        <v>23</v>
      </c>
      <c r="C26" s="38" t="s">
        <v>361</v>
      </c>
      <c r="D26" s="38"/>
      <c r="E26" s="38" t="s">
        <v>50</v>
      </c>
      <c r="F26" t="s">
        <v>28</v>
      </c>
      <c r="G26" s="24"/>
      <c r="H26" t="s">
        <v>29</v>
      </c>
      <c r="I26" s="24">
        <v>95.88</v>
      </c>
      <c r="M26" s="25">
        <v>1188</v>
      </c>
    </row>
    <row r="27" spans="1:14" ht="75">
      <c r="A27" s="38" t="s">
        <v>582</v>
      </c>
      <c r="B27" s="38" t="s">
        <v>583</v>
      </c>
      <c r="C27" s="35" t="s">
        <v>584</v>
      </c>
      <c r="D27" s="38" t="s">
        <v>242</v>
      </c>
      <c r="E27" s="38"/>
      <c r="F27" t="s">
        <v>28</v>
      </c>
      <c r="G27" s="24"/>
      <c r="H27" t="s">
        <v>29</v>
      </c>
      <c r="I27" s="24">
        <v>1808</v>
      </c>
      <c r="M27" s="25"/>
    </row>
    <row r="28" spans="1:14">
      <c r="A28" s="38" t="s">
        <v>585</v>
      </c>
      <c r="B28" s="38" t="s">
        <v>62</v>
      </c>
      <c r="C28" s="38" t="s">
        <v>352</v>
      </c>
      <c r="D28" s="38"/>
      <c r="E28" s="38" t="s">
        <v>50</v>
      </c>
      <c r="F28" t="s">
        <v>28</v>
      </c>
      <c r="G28" s="24"/>
      <c r="H28" t="s">
        <v>29</v>
      </c>
      <c r="I28" s="24">
        <v>98</v>
      </c>
      <c r="M28" s="25"/>
    </row>
    <row r="29" spans="1:14" ht="30">
      <c r="A29" s="38" t="s">
        <v>586</v>
      </c>
      <c r="B29" s="38" t="s">
        <v>371</v>
      </c>
      <c r="C29" s="35" t="s">
        <v>587</v>
      </c>
      <c r="D29" s="38"/>
      <c r="E29" s="38" t="s">
        <v>50</v>
      </c>
      <c r="F29" t="s">
        <v>28</v>
      </c>
      <c r="G29" s="24"/>
      <c r="M29" s="25"/>
    </row>
    <row r="30" spans="1:14" ht="30">
      <c r="A30" s="38" t="s">
        <v>588</v>
      </c>
      <c r="B30" s="38" t="s">
        <v>329</v>
      </c>
      <c r="C30" s="35" t="s">
        <v>587</v>
      </c>
      <c r="D30" s="38"/>
      <c r="E30" s="38" t="s">
        <v>50</v>
      </c>
      <c r="F30" t="s">
        <v>28</v>
      </c>
      <c r="G30" s="24"/>
      <c r="I30" s="53"/>
      <c r="M30" s="25"/>
    </row>
    <row r="31" spans="1:14" ht="30">
      <c r="A31" s="38" t="s">
        <v>589</v>
      </c>
      <c r="B31" s="38" t="s">
        <v>16</v>
      </c>
      <c r="C31" s="35" t="s">
        <v>590</v>
      </c>
      <c r="D31" s="38" t="s">
        <v>289</v>
      </c>
      <c r="E31" s="38" t="s">
        <v>147</v>
      </c>
      <c r="F31" t="s">
        <v>28</v>
      </c>
      <c r="G31" s="24"/>
      <c r="I31" s="53"/>
      <c r="M31" s="26" t="s">
        <v>591</v>
      </c>
    </row>
    <row r="32" spans="1:14">
      <c r="A32" s="42" t="s">
        <v>592</v>
      </c>
      <c r="B32" s="38" t="s">
        <v>593</v>
      </c>
      <c r="C32" s="38" t="s">
        <v>540</v>
      </c>
      <c r="D32" s="38"/>
      <c r="E32" s="38"/>
      <c r="F32" s="38" t="s">
        <v>50</v>
      </c>
      <c r="G32" t="s">
        <v>28</v>
      </c>
      <c r="H32" s="24"/>
      <c r="I32" s="53"/>
      <c r="J32" s="24"/>
      <c r="N32" s="25"/>
    </row>
    <row r="33" spans="1:15" ht="78.75" customHeight="1">
      <c r="A33" s="39" t="s">
        <v>594</v>
      </c>
      <c r="B33" s="38" t="s">
        <v>306</v>
      </c>
      <c r="C33" s="35" t="s">
        <v>595</v>
      </c>
      <c r="D33" s="38"/>
      <c r="E33" s="38" t="s">
        <v>50</v>
      </c>
      <c r="F33" t="s">
        <v>28</v>
      </c>
      <c r="G33" s="24"/>
      <c r="H33" t="s">
        <v>29</v>
      </c>
      <c r="I33" s="24">
        <v>560</v>
      </c>
      <c r="J33" s="24"/>
      <c r="N33" s="25"/>
    </row>
    <row r="34" spans="1:15" ht="30">
      <c r="A34" s="50" t="s">
        <v>336</v>
      </c>
      <c r="B34" s="38" t="s">
        <v>329</v>
      </c>
      <c r="C34" s="35" t="s">
        <v>596</v>
      </c>
      <c r="D34" s="38"/>
      <c r="E34" s="38" t="s">
        <v>50</v>
      </c>
      <c r="F34" t="s">
        <v>28</v>
      </c>
      <c r="G34" s="24"/>
      <c r="I34" s="53"/>
      <c r="J34" s="24"/>
      <c r="N34" s="25"/>
    </row>
    <row r="35" spans="1:15" ht="45">
      <c r="A35" s="38" t="s">
        <v>597</v>
      </c>
      <c r="B35" s="38" t="s">
        <v>178</v>
      </c>
      <c r="C35" s="35" t="s">
        <v>598</v>
      </c>
      <c r="D35" s="38"/>
      <c r="E35" s="38"/>
      <c r="G35" s="24"/>
      <c r="I35" s="53"/>
      <c r="J35" s="24"/>
      <c r="N35" s="25"/>
    </row>
    <row r="36" spans="1:15" ht="120">
      <c r="A36" s="38" t="s">
        <v>599</v>
      </c>
      <c r="B36" s="38" t="s">
        <v>266</v>
      </c>
      <c r="C36" s="35" t="s">
        <v>600</v>
      </c>
      <c r="D36" s="38" t="s">
        <v>50</v>
      </c>
      <c r="E36" s="38" t="s">
        <v>267</v>
      </c>
      <c r="F36" t="s">
        <v>28</v>
      </c>
      <c r="G36" s="24"/>
      <c r="H36" t="s">
        <v>601</v>
      </c>
      <c r="I36" s="24">
        <v>241.5</v>
      </c>
      <c r="J36" s="24"/>
      <c r="N36" s="25"/>
      <c r="O36" t="s">
        <v>103</v>
      </c>
    </row>
    <row r="37" spans="1:15" ht="60">
      <c r="A37" s="38" t="s">
        <v>602</v>
      </c>
      <c r="B37" s="38" t="s">
        <v>603</v>
      </c>
      <c r="C37" s="35" t="s">
        <v>604</v>
      </c>
      <c r="D37" s="38" t="s">
        <v>605</v>
      </c>
      <c r="E37" s="38"/>
      <c r="F37" t="s">
        <v>606</v>
      </c>
      <c r="G37" s="24"/>
      <c r="H37" t="s">
        <v>29</v>
      </c>
      <c r="I37" s="24">
        <v>49</v>
      </c>
      <c r="J37" s="24"/>
      <c r="K37" s="1"/>
      <c r="L37" s="1"/>
      <c r="N37" s="25"/>
    </row>
    <row r="38" spans="1:15" ht="90">
      <c r="A38" s="38" t="s">
        <v>607</v>
      </c>
      <c r="B38" s="38" t="s">
        <v>298</v>
      </c>
      <c r="C38" s="35" t="s">
        <v>608</v>
      </c>
      <c r="D38" s="38"/>
      <c r="E38" s="38" t="s">
        <v>50</v>
      </c>
      <c r="F38" t="s">
        <v>28</v>
      </c>
      <c r="G38" s="24"/>
      <c r="H38" t="s">
        <v>29</v>
      </c>
      <c r="I38" s="24">
        <v>273</v>
      </c>
      <c r="J38" s="24"/>
      <c r="N38" s="25"/>
    </row>
    <row r="39" spans="1:15" ht="45">
      <c r="A39" t="s">
        <v>609</v>
      </c>
      <c r="B39" t="s">
        <v>178</v>
      </c>
      <c r="C39" s="49" t="s">
        <v>610</v>
      </c>
      <c r="F39" t="s">
        <v>28</v>
      </c>
      <c r="G39" s="24"/>
      <c r="H39" t="s">
        <v>21</v>
      </c>
      <c r="I39" s="24">
        <v>233</v>
      </c>
      <c r="J39" s="24"/>
      <c r="N39" s="25"/>
    </row>
    <row r="40" spans="1:15" ht="60">
      <c r="A40" s="45" t="s">
        <v>611</v>
      </c>
      <c r="B40" t="s">
        <v>16</v>
      </c>
      <c r="C40" s="49" t="s">
        <v>612</v>
      </c>
      <c r="F40" t="s">
        <v>28</v>
      </c>
      <c r="G40" s="24"/>
      <c r="H40" t="s">
        <v>82</v>
      </c>
      <c r="I40" s="24">
        <v>5754.4</v>
      </c>
      <c r="J40" s="24"/>
      <c r="N40" s="25"/>
    </row>
    <row r="41" spans="1:15" ht="135">
      <c r="A41" s="48" t="s">
        <v>613</v>
      </c>
      <c r="B41" s="38" t="s">
        <v>77</v>
      </c>
      <c r="C41" s="35" t="s">
        <v>614</v>
      </c>
      <c r="D41" s="38" t="s">
        <v>50</v>
      </c>
      <c r="E41" s="38"/>
      <c r="F41" t="s">
        <v>28</v>
      </c>
      <c r="G41" s="24"/>
      <c r="H41" t="s">
        <v>29</v>
      </c>
      <c r="I41" s="24">
        <v>2400</v>
      </c>
      <c r="J41" s="24"/>
      <c r="N41" s="25"/>
    </row>
    <row r="42" spans="1:15" ht="60">
      <c r="A42" s="38" t="s">
        <v>615</v>
      </c>
      <c r="B42" s="38" t="s">
        <v>298</v>
      </c>
      <c r="C42" s="35" t="s">
        <v>616</v>
      </c>
      <c r="D42" s="38" t="s">
        <v>273</v>
      </c>
      <c r="E42" s="38" t="s">
        <v>53</v>
      </c>
      <c r="F42" t="s">
        <v>28</v>
      </c>
      <c r="G42" s="24"/>
      <c r="H42" t="s">
        <v>29</v>
      </c>
      <c r="I42" s="24">
        <v>790</v>
      </c>
      <c r="J42" s="24"/>
      <c r="N42" s="25"/>
    </row>
    <row r="46" spans="1:15">
      <c r="A46" s="9" t="s">
        <v>617</v>
      </c>
      <c r="I46" s="24">
        <v>3600</v>
      </c>
      <c r="J46" s="24">
        <f>SUM(A2)</f>
        <v>0</v>
      </c>
    </row>
    <row r="47" spans="1:15">
      <c r="A47" s="9" t="s">
        <v>618</v>
      </c>
      <c r="I47" s="24">
        <v>1100</v>
      </c>
    </row>
  </sheetData>
  <hyperlinks>
    <hyperlink ref="A34" r:id="rId1" xr:uid="{62399B34-2AC2-445E-B890-8E23902F325E}"/>
  </hyperlink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B9336-0175-4F5D-9BAE-01EDE969DDC8}">
  <dimension ref="A1:I20"/>
  <sheetViews>
    <sheetView workbookViewId="0">
      <pane ySplit="1" topLeftCell="A4" activePane="bottomLeft" state="frozen"/>
      <selection pane="bottomLeft"/>
    </sheetView>
  </sheetViews>
  <sheetFormatPr defaultColWidth="8.85546875" defaultRowHeight="124.5" customHeight="1"/>
  <cols>
    <col min="1" max="1" width="20.42578125" style="8" bestFit="1" customWidth="1"/>
    <col min="2" max="2" width="20" customWidth="1"/>
    <col min="3" max="3" width="60.42578125" customWidth="1"/>
    <col min="4" max="4" width="24" customWidth="1"/>
    <col min="5" max="5" width="16.28515625" customWidth="1"/>
    <col min="6" max="6" width="26.42578125" style="24" customWidth="1"/>
    <col min="7" max="7" width="31.140625" style="24" customWidth="1"/>
    <col min="8" max="8" width="35.28515625" style="24" customWidth="1"/>
  </cols>
  <sheetData>
    <row r="1" spans="1:8" ht="20.25" customHeight="1">
      <c r="A1" s="58" t="s">
        <v>0</v>
      </c>
      <c r="B1" s="2" t="s">
        <v>1</v>
      </c>
      <c r="C1" s="2" t="s">
        <v>3</v>
      </c>
      <c r="D1" s="2" t="s">
        <v>4</v>
      </c>
      <c r="E1" s="2" t="s">
        <v>6</v>
      </c>
      <c r="F1" s="44" t="s">
        <v>8</v>
      </c>
      <c r="G1" s="44" t="s">
        <v>9</v>
      </c>
      <c r="H1" s="44" t="s">
        <v>619</v>
      </c>
    </row>
    <row r="2" spans="1:8" ht="66" customHeight="1">
      <c r="A2" s="8" t="s">
        <v>620</v>
      </c>
      <c r="B2" s="38" t="s">
        <v>23</v>
      </c>
      <c r="C2" s="35" t="s">
        <v>621</v>
      </c>
      <c r="D2" s="35" t="s">
        <v>622</v>
      </c>
      <c r="E2" s="49" t="s">
        <v>623</v>
      </c>
      <c r="F2" s="60" t="s">
        <v>624</v>
      </c>
      <c r="G2" s="24">
        <v>100</v>
      </c>
      <c r="H2" s="24" t="s">
        <v>625</v>
      </c>
    </row>
    <row r="3" spans="1:8" ht="48" customHeight="1">
      <c r="A3" s="8" t="s">
        <v>626</v>
      </c>
      <c r="B3" s="38" t="s">
        <v>23</v>
      </c>
      <c r="C3" s="35" t="s">
        <v>627</v>
      </c>
      <c r="D3" s="59" t="s">
        <v>628</v>
      </c>
      <c r="E3" s="49" t="s">
        <v>623</v>
      </c>
      <c r="F3" s="24" t="s">
        <v>629</v>
      </c>
      <c r="G3" s="24">
        <v>125</v>
      </c>
      <c r="H3" s="24">
        <v>125</v>
      </c>
    </row>
    <row r="4" spans="1:8" ht="48.75" customHeight="1">
      <c r="A4" s="35" t="s">
        <v>31</v>
      </c>
      <c r="B4" s="38" t="s">
        <v>32</v>
      </c>
      <c r="C4" s="36" t="s">
        <v>630</v>
      </c>
      <c r="D4" s="35" t="s">
        <v>631</v>
      </c>
      <c r="E4" s="49" t="s">
        <v>623</v>
      </c>
      <c r="F4" s="60" t="s">
        <v>632</v>
      </c>
      <c r="G4" s="24">
        <v>9200</v>
      </c>
      <c r="H4" s="24">
        <v>849.69</v>
      </c>
    </row>
    <row r="5" spans="1:8" ht="141" customHeight="1">
      <c r="A5" s="35" t="s">
        <v>46</v>
      </c>
      <c r="B5" s="38" t="s">
        <v>47</v>
      </c>
      <c r="C5" s="35" t="s">
        <v>633</v>
      </c>
      <c r="D5" s="38"/>
      <c r="E5" s="49" t="s">
        <v>623</v>
      </c>
      <c r="F5" s="24" t="s">
        <v>634</v>
      </c>
    </row>
    <row r="6" spans="1:8" ht="36.75" customHeight="1">
      <c r="A6" s="35" t="s">
        <v>51</v>
      </c>
      <c r="B6" s="38" t="s">
        <v>23</v>
      </c>
      <c r="C6" s="35" t="s">
        <v>635</v>
      </c>
      <c r="D6" s="35" t="s">
        <v>636</v>
      </c>
      <c r="E6" s="49" t="s">
        <v>623</v>
      </c>
      <c r="F6" s="24" t="s">
        <v>637</v>
      </c>
      <c r="G6" s="24">
        <v>99</v>
      </c>
      <c r="H6" s="24">
        <v>99</v>
      </c>
    </row>
    <row r="7" spans="1:8" ht="105.75" customHeight="1">
      <c r="A7" s="35" t="s">
        <v>54</v>
      </c>
      <c r="B7" s="38" t="s">
        <v>55</v>
      </c>
      <c r="C7" s="35" t="s">
        <v>56</v>
      </c>
      <c r="D7" s="38" t="s">
        <v>57</v>
      </c>
      <c r="E7" t="s">
        <v>28</v>
      </c>
      <c r="F7" s="24" t="s">
        <v>638</v>
      </c>
      <c r="G7" s="24" t="s">
        <v>60</v>
      </c>
    </row>
    <row r="8" spans="1:8" ht="41.25" customHeight="1">
      <c r="A8" s="8" t="s">
        <v>639</v>
      </c>
      <c r="B8" s="38" t="s">
        <v>23</v>
      </c>
      <c r="C8" s="35" t="s">
        <v>640</v>
      </c>
      <c r="D8" s="35" t="s">
        <v>641</v>
      </c>
      <c r="E8" s="49" t="s">
        <v>623</v>
      </c>
      <c r="F8" s="24" t="s">
        <v>29</v>
      </c>
      <c r="G8" s="24">
        <v>1650</v>
      </c>
      <c r="H8" s="24">
        <v>1763.61</v>
      </c>
    </row>
    <row r="9" spans="1:8" ht="53.25" customHeight="1">
      <c r="A9" s="8" t="s">
        <v>642</v>
      </c>
      <c r="B9" s="38" t="s">
        <v>23</v>
      </c>
      <c r="C9" s="35" t="s">
        <v>643</v>
      </c>
      <c r="D9" s="35" t="s">
        <v>644</v>
      </c>
      <c r="E9" s="49" t="s">
        <v>623</v>
      </c>
      <c r="F9" s="60" t="s">
        <v>624</v>
      </c>
      <c r="G9" s="24">
        <v>50</v>
      </c>
      <c r="H9" s="24">
        <v>50</v>
      </c>
    </row>
    <row r="10" spans="1:8" ht="66" customHeight="1">
      <c r="A10" s="8" t="s">
        <v>187</v>
      </c>
      <c r="B10" t="s">
        <v>188</v>
      </c>
      <c r="C10" s="8" t="s">
        <v>189</v>
      </c>
      <c r="D10" s="8" t="s">
        <v>645</v>
      </c>
      <c r="E10" s="49" t="s">
        <v>623</v>
      </c>
      <c r="F10" s="24" t="s">
        <v>29</v>
      </c>
      <c r="G10" s="24">
        <v>11.95</v>
      </c>
      <c r="H10" s="24" t="s">
        <v>646</v>
      </c>
    </row>
    <row r="11" spans="1:8" ht="75.75" customHeight="1">
      <c r="A11" s="35" t="s">
        <v>191</v>
      </c>
      <c r="B11" s="38" t="s">
        <v>114</v>
      </c>
      <c r="C11" s="35" t="s">
        <v>193</v>
      </c>
      <c r="D11" s="35" t="s">
        <v>647</v>
      </c>
      <c r="E11" s="24"/>
      <c r="F11" s="24" t="s">
        <v>648</v>
      </c>
      <c r="G11" s="24">
        <v>1025</v>
      </c>
      <c r="H11" s="24">
        <v>1025</v>
      </c>
    </row>
    <row r="12" spans="1:8" ht="45" customHeight="1">
      <c r="A12" s="8" t="s">
        <v>649</v>
      </c>
      <c r="B12" t="s">
        <v>650</v>
      </c>
      <c r="C12" s="8" t="s">
        <v>651</v>
      </c>
      <c r="E12" s="49" t="s">
        <v>623</v>
      </c>
      <c r="G12" s="24">
        <v>1334</v>
      </c>
      <c r="H12" s="24">
        <v>3000</v>
      </c>
    </row>
    <row r="13" spans="1:8" ht="46.5" customHeight="1">
      <c r="A13" s="8" t="s">
        <v>652</v>
      </c>
      <c r="B13" t="s">
        <v>650</v>
      </c>
      <c r="C13" s="8" t="s">
        <v>653</v>
      </c>
      <c r="E13" s="49"/>
      <c r="G13" s="24" t="s">
        <v>654</v>
      </c>
      <c r="H13" s="24">
        <v>753.02</v>
      </c>
    </row>
    <row r="14" spans="1:8" ht="46.5" customHeight="1">
      <c r="A14" s="8" t="s">
        <v>655</v>
      </c>
      <c r="B14" t="s">
        <v>114</v>
      </c>
      <c r="C14" s="8" t="s">
        <v>656</v>
      </c>
      <c r="D14" t="s">
        <v>657</v>
      </c>
      <c r="E14" s="49" t="s">
        <v>658</v>
      </c>
      <c r="F14" s="24" t="s">
        <v>659</v>
      </c>
      <c r="G14" s="24" t="s">
        <v>660</v>
      </c>
      <c r="H14" s="24">
        <v>192</v>
      </c>
    </row>
    <row r="15" spans="1:8" ht="46.5" customHeight="1">
      <c r="A15" s="8" t="s">
        <v>661</v>
      </c>
      <c r="B15" t="s">
        <v>32</v>
      </c>
      <c r="C15" s="8" t="s">
        <v>662</v>
      </c>
      <c r="D15" t="s">
        <v>663</v>
      </c>
      <c r="E15" s="49" t="s">
        <v>623</v>
      </c>
      <c r="F15" s="24" t="s">
        <v>29</v>
      </c>
      <c r="G15" s="24">
        <v>36</v>
      </c>
      <c r="H15" s="24" t="s">
        <v>664</v>
      </c>
    </row>
    <row r="16" spans="1:8" ht="46.5" customHeight="1">
      <c r="C16" s="8"/>
      <c r="E16" s="49"/>
    </row>
    <row r="17" spans="1:9" ht="38.25" customHeight="1">
      <c r="F17" s="24" t="s">
        <v>665</v>
      </c>
      <c r="G17" s="61">
        <f>SUM(G2:G12)</f>
        <v>13594.95</v>
      </c>
      <c r="H17" s="61">
        <f>SUM(H2:H13)</f>
        <v>7665.32</v>
      </c>
    </row>
    <row r="19" spans="1:9" ht="124.5" customHeight="1">
      <c r="A19" s="62" t="s">
        <v>177</v>
      </c>
      <c r="B19" s="48" t="s">
        <v>178</v>
      </c>
      <c r="C19" s="65" t="s">
        <v>179</v>
      </c>
      <c r="D19" s="48"/>
      <c r="E19" s="63" t="s">
        <v>28</v>
      </c>
      <c r="F19" s="64"/>
      <c r="G19" s="64"/>
      <c r="H19" s="64"/>
      <c r="I19" s="63"/>
    </row>
    <row r="20" spans="1:9" ht="124.5" customHeight="1">
      <c r="A20" s="66" t="s">
        <v>183</v>
      </c>
      <c r="B20" s="63" t="s">
        <v>70</v>
      </c>
      <c r="C20" s="63" t="s">
        <v>184</v>
      </c>
      <c r="D20" s="63" t="s">
        <v>666</v>
      </c>
      <c r="E20" s="63"/>
      <c r="F20" s="64"/>
      <c r="G20" s="64"/>
      <c r="H20" s="64"/>
      <c r="I20" s="6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2026-02-03T18:14:31Z</dcterms:created>
  <dcterms:modified xsi:type="dcterms:W3CDTF">2026-04-06T13:18:13Z</dcterms:modified>
  <cp:category/>
  <cp:contentStatus/>
</cp:coreProperties>
</file>